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f62799ae5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时明细" sheetId="1" r:id="R4f0c180bfb2145df"/>
    <x:sheet xmlns:r="http://schemas.openxmlformats.org/officeDocument/2006/relationships" name="费用汇总" sheetId="2" r:id="Rff6d9acadb454310"/>
    <x:sheet xmlns:r="http://schemas.openxmlformats.org/officeDocument/2006/relationships" name="线程来源" sheetId="3" r:id="Rfd72645cea4e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"/>
    <x:numFmt numFmtId="201" formatCode="0.0"/>
    <x:numFmt numFmtId="202" formatCode="@"/>
    <x:numFmt numFmtId="203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7534C"/>
      <x:name val="Carlito"/>
    </x:font>
    <x:font>
      <x:b/>
      <x:sz val="11"/>
      <x:color rgb="FF173B34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A6C7BE"/>
      </x:left>
      <x:right style="thin">
        <x:color rgb="FFA6C7BE"/>
      </x:right>
      <x:top style="thin">
        <x:color rgb="FFA6C7BE"/>
      </x:top>
      <x:bottom style="thin">
        <x:color rgb="FFA6C7BE"/>
      </x:bottom>
    </x:border>
    <x:border>
      <x:left style="thin">
        <x:color rgb="FFD9E2E0"/>
      </x:left>
      <x:right style="thin">
        <x:color rgb="FFD9E2E0"/>
      </x:right>
      <x:top style="thin">
        <x:color rgb="FFD9E2E0"/>
      </x:top>
      <x:bottom style="thin">
        <x:color rgb="FFD9E2E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left"/>
    </x:xf>
    <x:xf numFmtId="0" fontId="1" borderId="0" xfId="0" applyNumberFormat="1" applyFont="1" applyFill="0" applyBorder="1" applyAlignment="1">
      <x:alignment horizontal="left" vertical="center"/>
    </x:xf>
    <x:xf numFmtId="0" fontId="2" borderId="0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horizontal="center"/>
    </x:xf>
    <x:xf numFmtId="0" fontId="3" borderId="1" xfId="0" applyNumberFormat="1" applyFont="1" applyFill="0" applyBorder="1" applyAlignment="1">
      <x:alignment horizontal="center" vertical="center"/>
    </x:xf>
    <x:xf numFmtId="0" fontId="3" borderId="1" xfId="0" applyNumberFormat="1" applyFont="1" applyFill="0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3" borderId="2" xfId="0" applyNumberFormat="1" applyFont="1" applyFill="0" applyBorder="1"/>
    <x:xf numFmtId="0" fontId="3" borderId="2" xfId="0" applyNumberFormat="1" applyFont="1" applyFill="0" applyBorder="1" applyAlignment="1">
      <x:alignment vertical="top"/>
    </x:xf>
    <x:xf numFmtId="0" fontId="3" borderId="2" xfId="0" applyNumberFormat="1" applyFont="1" applyFill="0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4c50cb5984313" /><Relationship Type="http://schemas.openxmlformats.org/officeDocument/2006/relationships/theme" Target="/xl/theme/theme1.xml" Id="R30d5c1eee7fc4354" /><Relationship Type="http://schemas.openxmlformats.org/officeDocument/2006/relationships/sharedStrings" Target="/xl/sharedStrings.xml" Id="R915eadc5342d43b8" /><Relationship Type="http://schemas.openxmlformats.org/officeDocument/2006/relationships/worksheet" Target="/xl/worksheets/sheet1.xml" Id="R4f0c180bfb2145df" /><Relationship Type="http://schemas.openxmlformats.org/officeDocument/2006/relationships/worksheet" Target="/xl/worksheets/sheet2.xml" Id="Rff6d9acadb454310" /><Relationship Type="http://schemas.openxmlformats.org/officeDocument/2006/relationships/worksheet" Target="/xl/worksheets/sheet3.xml" Id="Rfd72645cea4e4b23" /></Relationships>
</file>

<file path=xl/tables/table1.xml><?xml version="1.0" encoding="utf-8"?>
<x:table xmlns:x="http://schemas.openxmlformats.org/spreadsheetml/2006/main" id="1" name="WorkLogTable" displayName="WorkLogTable" ref="A4:H31" headerRowCount="1">
  <x:tableColumns count="8">
    <x:tableColumn id="1" name="开始时间"/>
    <x:tableColumn id="2" name="结束时间"/>
    <x:tableColumn id="3" name="工作内容"/>
    <x:tableColumn id="4" name="工作类型"/>
    <x:tableColumn id="5" name="依据线程"/>
    <x:tableColumn id="6" name="线程ID"/>
    <x:tableColumn id="7" name="开发工时"/>
    <x:tableColumn id="8" name="小计费用"/>
  </x:tableColumns>
  <x:tableStyleInfo name="TableStyleMedium2" showRowStripes="1"/>
</x:table>
</file>

<file path=xl/tables/table2.xml><?xml version="1.0" encoding="utf-8"?>
<x:table xmlns:x="http://schemas.openxmlformats.org/spreadsheetml/2006/main" id="2" name="ThreadSourceTable" displayName="ThreadSourceTable" ref="A3:E11" headerRowCount="1">
  <x:tableColumns count="5">
    <x:tableColumn id="1" name="线程标题"/>
    <x:tableColumn id="2" name="线程ID"/>
    <x:tableColumn id="3" name="开始时间"/>
    <x:tableColumn id="4" name="结束时间"/>
    <x:tableColumn id="5" name="纳入统计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bca55a00e44e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bf34494b874a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12.779999732971191" hidden="0" customWidth="1"/>
    <x:col min="3" max="3" width="52.220001220703125" hidden="0" customWidth="1"/>
    <x:col min="4" max="4" width="9.4399995803833" hidden="0" customWidth="1"/>
    <x:col min="5" max="5" width="21.110000610351562" hidden="0" customWidth="1"/>
    <x:col min="6" max="6" width="28.329999923706055" hidden="0" customWidth="1"/>
    <x:col min="7" max="7" width="8.890000343322754" hidden="0" customWidth="1"/>
    <x:col min="8" max="8" width="10.5600004196167" hidden="0" customWidth="1"/>
    <x:col min="9" max="9" width="2.2200000286102295" hidden="0" customWidth="1"/>
    <x:col min="10" max="10" width="11.109999656677246" hidden="0" customWidth="1"/>
    <x:col min="11" max="11" width="11.670000076293945" hidden="0" customWidth="1"/>
  </x:cols>
  <x:sheetData>
    <x:row r="1" ht="19.5" customHeight="1">
      <x:c r="A1" s="4" t="str">
        <x:v>XiAiPet 宠物烘焙 - 开发费用工时统计表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19.5" customHeight="1">
      <x:c r="A2" s="5" t="str">
        <x:v>统计口径：依据当前 Codex 线程树和历史摘要整理，工时为可向甲方说明的估算口径；单价可在右侧 K3 修改。</x:v>
      </x:c>
      <x:c r="B2" s="5" t="str">
        <x:v>统计口径：依据当前 Codex 线程树和历史摘要整理，工时为可向甲方说明的估算口径；单价可在右侧 K3 修改。</x:v>
      </x:c>
      <x:c r="C2" s="5" t="str">
        <x:v>统计口径：依据当前 Codex 线程树和历史摘要整理，工时为可向甲方说明的估算口径；单价可在右侧 K3 修改。</x:v>
      </x:c>
      <x:c r="D2" s="5" t="str">
        <x:v>统计口径：依据当前 Codex 线程树和历史摘要整理，工时为可向甲方说明的估算口径；单价可在右侧 K3 修改。</x:v>
      </x:c>
      <x:c r="E2" s="5" t="str">
        <x:v>统计口径：依据当前 Codex 线程树和历史摘要整理，工时为可向甲方说明的估算口径；单价可在右侧 K3 修改。</x:v>
      </x:c>
      <x:c r="F2" s="5" t="str">
        <x:v>统计口径：依据当前 Codex 线程树和历史摘要整理，工时为可向甲方说明的估算口径；单价可在右侧 K3 修改。</x:v>
      </x:c>
      <x:c r="G2" s="5" t="str">
        <x:v>统计口径：依据当前 Codex 线程树和历史摘要整理，工时为可向甲方说明的估算口径；单价可在右侧 K3 修改。</x:v>
      </x:c>
      <x:c r="H2" s="5" t="str">
        <x:v>统计口径：依据当前 Codex 线程树和历史摘要整理，工时为可向甲方说明的估算口径；单价可在右侧 K3 修改。</x:v>
      </x:c>
      <x:c r="J2" s="4" t="str">
        <x:v>费用统计</x:v>
      </x:c>
      <x:c r="K2" s="4" t="str"/>
    </x:row>
    <x:row r="3" ht="19.5" customHeight="1">
      <x:c r="J3" s="7" t="str">
        <x:v>工时单价</x:v>
      </x:c>
      <x:c r="K3" s="19" t="n">
        <x:v>200</x:v>
      </x:c>
    </x:row>
    <x:row r="4" ht="19.5" customHeight="1">
      <x:c r="A4" s="10" t="str">
        <x:v>开始时间</x:v>
      </x:c>
      <x:c r="B4" s="10" t="str">
        <x:v>结束时间</x:v>
      </x:c>
      <x:c r="C4" s="10" t="str">
        <x:v>工作内容</x:v>
      </x:c>
      <x:c r="D4" s="10" t="str">
        <x:v>工作类型</x:v>
      </x:c>
      <x:c r="E4" s="10" t="str">
        <x:v>依据线程</x:v>
      </x:c>
      <x:c r="F4" s="10" t="str">
        <x:v>线程ID</x:v>
      </x:c>
      <x:c r="G4" s="10" t="str">
        <x:v>开发工时</x:v>
      </x:c>
      <x:c r="H4" s="10" t="str">
        <x:v>小计费用</x:v>
      </x:c>
      <x:c r="J4" s="7" t="str">
        <x:v>总开发工时</x:v>
      </x:c>
      <x:c r="K4" s="20" t="n">
        <x:f>SUM(G5:G31)</x:f>
        <x:v>80</x:v>
      </x:c>
    </x:row>
    <x:row r="5" ht="43.5" customHeight="1">
      <x:c r="A5" s="16" t="str">
        <x:v>2026-05-11 12:55</x:v>
      </x:c>
      <x:c r="B5" s="16" t="str">
        <x:v>2026-05-11 18:30</x:v>
      </x:c>
      <x:c r="C5" s="13" t="str">
        <x:v>后端迁移方向需求讨论：确认从腾讯 CloudBase 迁移到阿里云 ECS/RDS/OSS，统一 apps/api 后端，保留微信小程序交付边界。</x:v>
      </x:c>
      <x:c r="D5" s="13" t="str">
        <x:v>讨论需求</x:v>
      </x:c>
      <x:c r="E5" s="13" t="str">
        <x:v>规划后端迁移方案</x:v>
      </x:c>
      <x:c r="F5" s="13" t="str">
        <x:v>019e1563-f539-7ab3-8b93-b4de77905936</x:v>
      </x:c>
      <x:c r="G5" s="15" t="n">
        <x:v>4</x:v>
      </x:c>
      <x:c r="H5" s="14" t="n">
        <x:f>G5*$K$3</x:f>
        <x:v>800</x:v>
      </x:c>
      <x:c r="J5" s="7" t="str">
        <x:v>开发费用合计</x:v>
      </x:c>
      <x:c r="K5" s="19" t="n">
        <x:f>K3*K4</x:f>
        <x:v>16000</x:v>
      </x:c>
    </x:row>
    <x:row r="6" ht="43.5" customHeight="1">
      <x:c r="A6" s="16" t="str">
        <x:v>2026-05-11 18:30</x:v>
      </x:c>
      <x:c r="B6" s="16" t="str">
        <x:v>2026-05-29 11:27</x:v>
      </x:c>
      <x:c r="C6" s="13" t="str">
        <x:v>后端迁移技术方案设计：Fastify + Prisma + MySQL 8 + OSS + Docker Compose，拆分 v1.1 迁移需求、阶段路线和部署边界。</x:v>
      </x:c>
      <x:c r="D6" s="13" t="str">
        <x:v>设计</x:v>
      </x:c>
      <x:c r="E6" s="13" t="str">
        <x:v>规划后端迁移方案</x:v>
      </x:c>
      <x:c r="F6" s="13" t="str">
        <x:v>019e1563-f539-7ab3-8b93-b4de77905936</x:v>
      </x:c>
      <x:c r="G6" s="15" t="n">
        <x:v>8</x:v>
      </x:c>
      <x:c r="H6" s="14" t="n">
        <x:f>G6*$K$3</x:f>
        <x:v>1600</x:v>
      </x:c>
      <x:c r="J6" s="7" t="str">
        <x:v>统计线程数</x:v>
      </x:c>
      <x:c r="K6" s="17" t="n">
        <x:v>8</x:v>
      </x:c>
    </x:row>
    <x:row r="7" ht="43.5" customHeight="1">
      <x:c r="A7" s="16" t="str">
        <x:v>2026-05-11 18:30</x:v>
      </x:c>
      <x:c r="B7" s="16" t="str">
        <x:v>2026-05-29 11:27</x:v>
      </x:c>
      <x:c r="C7" s="13" t="str">
        <x:v>迁移规划落地：更新里程碑、需求、路线图、状态文档和迁移研究说明，形成后续开发执行依据。</x:v>
      </x:c>
      <x:c r="D7" s="13" t="str">
        <x:v>开发</x:v>
      </x:c>
      <x:c r="E7" s="13" t="str">
        <x:v>规划后端迁移方案</x:v>
      </x:c>
      <x:c r="F7" s="13" t="str">
        <x:v>019e1563-f539-7ab3-8b93-b4de77905936</x:v>
      </x:c>
      <x:c r="G7" s="15" t="n">
        <x:v>3</x:v>
      </x:c>
      <x:c r="H7" s="14" t="n">
        <x:f>G7*$K$3</x:f>
        <x:v>600</x:v>
      </x:c>
      <x:c r="J7" s="7" t="str">
        <x:v>明细行数</x:v>
      </x:c>
      <x:c r="K7" s="17" t="n">
        <x:v>27</x:v>
      </x:c>
    </x:row>
    <x:row r="8" ht="43.5" customHeight="1">
      <x:c r="A8" s="16" t="str">
        <x:v>2026-05-13 15:52</x:v>
      </x:c>
      <x:c r="B8" s="16" t="str">
        <x:v>2026-05-16 11:28</x:v>
      </x:c>
      <x:c r="C8" s="13" t="str">
        <x:v>商户工作台与商品管理需求确认：排查卡片跳转是否未开发，并确认商品删除能力需要补齐。</x:v>
      </x:c>
      <x:c r="D8" s="13" t="str">
        <x:v>讨论需求</x:v>
      </x:c>
      <x:c r="E8" s="13" t="str">
        <x:v>查明卡片跳转未实现 / 商品左滑删除</x:v>
      </x:c>
      <x:c r="F8" s="13" t="str">
        <x:v>019e2052-bf35-7313-a496-628d8f60da3b</x:v>
      </x:c>
      <x:c r="G8" s="15" t="n">
        <x:v>1.5</x:v>
      </x:c>
      <x:c r="H8" s="14" t="n">
        <x:f>G8*$K$3</x:f>
        <x:v>300</x:v>
      </x:c>
    </x:row>
    <x:row r="9" ht="43.5" customHeight="1">
      <x:c r="A9" s="16" t="str">
        <x:v>2026-05-13 15:52</x:v>
      </x:c>
      <x:c r="B9" s="16" t="str">
        <x:v>2026-05-16 11:28</x:v>
      </x:c>
      <x:c r="C9" s="13" t="str">
        <x:v>商品删除交互与接口设计：左滑删除、确认弹窗、DELETE /merchant/products/:productId、删除后刷新列表。</x:v>
      </x:c>
      <x:c r="D9" s="13" t="str">
        <x:v>设计</x:v>
      </x:c>
      <x:c r="E9" s="13" t="str">
        <x:v>查明卡片跳转未实现 / 商品左滑删除</x:v>
      </x:c>
      <x:c r="F9" s="13" t="str">
        <x:v>019e2052-bf35-7313-a496-628d8f60da3b</x:v>
      </x:c>
      <x:c r="G9" s="15" t="n">
        <x:v>2</x:v>
      </x:c>
      <x:c r="H9" s="14" t="n">
        <x:f>G9*$K$3</x:f>
        <x:v>400</x:v>
      </x:c>
      <x:c r="J9" s="10" t="str">
        <x:v>工作类型</x:v>
      </x:c>
      <x:c r="K9" s="10" t="str">
        <x:v>工时</x:v>
      </x:c>
    </x:row>
    <x:row r="10" ht="43.5" customHeight="1">
      <x:c r="A10" s="16" t="str">
        <x:v>2026-05-13 15:52</x:v>
      </x:c>
      <x:c r="B10" s="16" t="str">
        <x:v>2026-05-16 11:28</x:v>
      </x:c>
      <x:c r="C10" s="13" t="str">
        <x:v>实现商品左滑删除链路：商户端页面、catalog-admin service、API route/service/repository 删除链路。</x:v>
      </x:c>
      <x:c r="D10" s="13" t="str">
        <x:v>开发</x:v>
      </x:c>
      <x:c r="E10" s="13" t="str">
        <x:v>查明卡片跳转未实现 / 商品左滑删除</x:v>
      </x:c>
      <x:c r="F10" s="13" t="str">
        <x:v>019e2052-bf35-7313-a496-628d8f60da3b</x:v>
      </x:c>
      <x:c r="G10" s="15" t="n">
        <x:v>4.5</x:v>
      </x:c>
      <x:c r="H10" s="14" t="n">
        <x:f>G10*$K$3</x:f>
        <x:v>900</x:v>
      </x:c>
      <x:c r="J10" s="13" t="str">
        <x:v>讨论需求</x:v>
      </x:c>
      <x:c r="K10" s="15" t="n">
        <x:f>SUMIF(D5:D31,"讨论需求",G5:G31)</x:f>
        <x:v>11.5</x:v>
      </x:c>
    </x:row>
    <x:row r="11" ht="43.5" customHeight="1">
      <x:c r="A11" s="16" t="str">
        <x:v>2026-05-13 15:52</x:v>
      </x:c>
      <x:c r="B11" s="16" t="str">
        <x:v>2026-05-16 11:28</x:v>
      </x:c>
      <x:c r="C11" s="13" t="str">
        <x:v>商品删除验证：商户端 service/page layout 测试、API service 测试、typecheck 和 build。</x:v>
      </x:c>
      <x:c r="D11" s="13" t="str">
        <x:v>测试</x:v>
      </x:c>
      <x:c r="E11" s="13" t="str">
        <x:v>查明卡片跳转未实现 / 商品左滑删除</x:v>
      </x:c>
      <x:c r="F11" s="13" t="str">
        <x:v>019e2052-bf35-7313-a496-628d8f60da3b</x:v>
      </x:c>
      <x:c r="G11" s="15" t="n">
        <x:v>1.5</x:v>
      </x:c>
      <x:c r="H11" s="14" t="n">
        <x:f>G11*$K$3</x:f>
        <x:v>300</x:v>
      </x:c>
      <x:c r="J11" s="13" t="str">
        <x:v>设计</x:v>
      </x:c>
      <x:c r="K11" s="15" t="n">
        <x:f>SUMIF(D5:D31,"设计",G5:G31)</x:f>
        <x:v>19.5</x:v>
      </x:c>
    </x:row>
    <x:row r="12" ht="43.5" customHeight="1">
      <x:c r="A12" s="16" t="str">
        <x:v>2026-05-16 10:10</x:v>
      </x:c>
      <x:c r="B12" s="16" t="str">
        <x:v>2026-05-21 14:54</x:v>
      </x:c>
      <x:c r="C12" s="13" t="str">
        <x:v>实现用户端品类展示与订单宠物快照：补齐品类可见、下单宠物 gender/birthday/allergyNotes 快照、商户端订单详情展示。</x:v>
      </x:c>
      <x:c r="D12" s="13" t="str">
        <x:v>开发</x:v>
      </x:c>
      <x:c r="E12" s="13" t="str">
        <x:v>实现用户端品类展示</x:v>
      </x:c>
      <x:c r="F12" s="13" t="str">
        <x:v>019e2e8c-b12a-7031-b1b2-d6b64f317f58</x:v>
      </x:c>
      <x:c r="G12" s="15" t="n">
        <x:v>7</x:v>
      </x:c>
      <x:c r="H12" s="14" t="n">
        <x:f>G12*$K$3</x:f>
        <x:v>1400</x:v>
      </x:c>
      <x:c r="J12" s="13" t="str">
        <x:v>开发</x:v>
      </x:c>
      <x:c r="K12" s="15" t="n">
        <x:f>SUMIF(D5:D31,"开发",G5:G31)</x:f>
        <x:v>37</x:v>
      </x:c>
    </x:row>
    <x:row r="13" ht="43.5" customHeight="1">
      <x:c r="A13" s="16" t="str">
        <x:v>2026-05-16 10:10</x:v>
      </x:c>
      <x:c r="B13" s="16" t="str">
        <x:v>2026-05-21 14:54</x:v>
      </x:c>
      <x:c r="C13" s="13" t="str">
        <x:v>品类与宠物订单链路验证：用户端订单提交测试、商户端订单服务测试、两端 typecheck/build。</x:v>
      </x:c>
      <x:c r="D13" s="13" t="str">
        <x:v>测试</x:v>
      </x:c>
      <x:c r="E13" s="13" t="str">
        <x:v>实现用户端品类展示</x:v>
      </x:c>
      <x:c r="F13" s="13" t="str">
        <x:v>019e2e8c-b12a-7031-b1b2-d6b64f317f58</x:v>
      </x:c>
      <x:c r="G13" s="15" t="n">
        <x:v>2.5</x:v>
      </x:c>
      <x:c r="H13" s="14" t="n">
        <x:f>G13*$K$3</x:f>
        <x:v>500</x:v>
      </x:c>
      <x:c r="J13" s="13" t="str">
        <x:v>测试</x:v>
      </x:c>
      <x:c r="K13" s="15" t="n">
        <x:f>SUMIF(D5:D31,"测试",G5:G31)</x:f>
        <x:v>12</x:v>
      </x:c>
    </x:row>
    <x:row r="14" ht="43.5" customHeight="1">
      <x:c r="A14" s="16" t="str">
        <x:v>2026-05-29 09:30</x:v>
      </x:c>
      <x:c r="B14" s="16" t="str">
        <x:v>2026-05-29 11:27</x:v>
      </x:c>
      <x:c r="C14" s="13" t="str">
        <x:v>会员余额调整规则讨论：区分充值、线下收款、赠送、退款、取消赠送等方向性原因，并保持会员累计充值一致。</x:v>
      </x:c>
      <x:c r="D14" s="13" t="str">
        <x:v>讨论需求</x:v>
      </x:c>
      <x:c r="E14" s="13" t="str">
        <x:v>规划后端迁移方案</x:v>
      </x:c>
      <x:c r="F14" s="13" t="str">
        <x:v>019e1563-f539-7ab3-8b93-b4de77905936</x:v>
      </x:c>
      <x:c r="G14" s="15" t="n">
        <x:v>1.5</x:v>
      </x:c>
      <x:c r="H14" s="14" t="n">
        <x:f>G14*$K$3</x:f>
        <x:v>300</x:v>
      </x:c>
    </x:row>
    <x:row r="15" ht="43.5" customHeight="1">
      <x:c r="A15" s="16" t="str">
        <x:v>2026-05-29 09:30</x:v>
      </x:c>
      <x:c r="B15" s="16" t="str">
        <x:v>2026-05-29 11:27</x:v>
      </x:c>
      <x:c r="C15" s="13" t="str">
        <x:v>实现余额调整原因拆分：共享校验、服务端 action/reason 验证、商户端原因选项和会员充值聚合逻辑。</x:v>
      </x:c>
      <x:c r="D15" s="13" t="str">
        <x:v>开发</x:v>
      </x:c>
      <x:c r="E15" s="13" t="str">
        <x:v>规划后端迁移方案</x:v>
      </x:c>
      <x:c r="F15" s="13" t="str">
        <x:v>019e1563-f539-7ab3-8b93-b4de77905936</x:v>
      </x:c>
      <x:c r="G15" s="15" t="n">
        <x:v>4</x:v>
      </x:c>
      <x:c r="H15" s="14" t="n">
        <x:f>G15*$K$3</x:f>
        <x:v>800</x:v>
      </x:c>
    </x:row>
    <x:row r="16" ht="43.5" customHeight="1">
      <x:c r="A16" s="16" t="str">
        <x:v>2026-05-29 09:30</x:v>
      </x:c>
      <x:c r="B16" s="16" t="str">
        <x:v>2026-05-29 11:27</x:v>
      </x:c>
      <x:c r="C16" s="13" t="str">
        <x:v>余额调整验证：共享类型、API、商户端测试，typecheck 和构建验证。</x:v>
      </x:c>
      <x:c r="D16" s="13" t="str">
        <x:v>测试</x:v>
      </x:c>
      <x:c r="E16" s="13" t="str">
        <x:v>规划后端迁移方案</x:v>
      </x:c>
      <x:c r="F16" s="13" t="str">
        <x:v>019e1563-f539-7ab3-8b93-b4de77905936</x:v>
      </x:c>
      <x:c r="G16" s="15" t="n">
        <x:v>1.5</x:v>
      </x:c>
      <x:c r="H16" s="14" t="n">
        <x:f>G16*$K$3</x:f>
        <x:v>300</x:v>
      </x:c>
    </x:row>
    <x:row r="17" ht="43.5" customHeight="1">
      <x:c r="A17" s="16" t="str">
        <x:v>2026-05-29 09:30</x:v>
      </x:c>
      <x:c r="B17" s="16" t="str">
        <x:v>2026-05-29 11:27</x:v>
      </x:c>
      <x:c r="C17" s="13" t="str">
        <x:v>地址地图与经纬度规则设计：同城地址必须地图选点用于配送费，快递地址作为快速填写，明确微信权限配置。</x:v>
      </x:c>
      <x:c r="D17" s="13" t="str">
        <x:v>设计</x:v>
      </x:c>
      <x:c r="E17" s="13" t="str">
        <x:v>规划后端迁移方案</x:v>
      </x:c>
      <x:c r="F17" s="13" t="str">
        <x:v>019e1563-f539-7ab3-8b93-b4de77905936</x:v>
      </x:c>
      <x:c r="G17" s="15" t="n">
        <x:v>2</x:v>
      </x:c>
      <x:c r="H17" s="14" t="n">
        <x:f>G17*$K$3</x:f>
        <x:v>400</x:v>
      </x:c>
    </x:row>
    <x:row r="18" ht="43.5" customHeight="1">
      <x:c r="A18" s="16" t="str">
        <x:v>2026-05-29 09:30</x:v>
      </x:c>
      <x:c r="B18" s="16" t="str">
        <x:v>2026-05-29 11:27</x:v>
      </x:c>
      <x:c r="C18" s="13" t="str">
        <x:v>实现地址坐标链路：wx.chooseLocation 配置、地址表单 latitude/longitude、API 地址快照持久化、商户门店坐标 SQL 修改路径。</x:v>
      </x:c>
      <x:c r="D18" s="13" t="str">
        <x:v>开发</x:v>
      </x:c>
      <x:c r="E18" s="13" t="str">
        <x:v>规划后端迁移方案</x:v>
      </x:c>
      <x:c r="F18" s="13" t="str">
        <x:v>019e1563-f539-7ab3-8b93-b4de77905936</x:v>
      </x:c>
      <x:c r="G18" s="15" t="n">
        <x:v>4</x:v>
      </x:c>
      <x:c r="H18" s="14" t="n">
        <x:f>G18*$K$3</x:f>
        <x:v>800</x:v>
      </x:c>
    </x:row>
    <x:row r="19" ht="43.5" customHeight="1">
      <x:c r="A19" s="16" t="str">
        <x:v>2026-05-29 09:30</x:v>
      </x:c>
      <x:c r="B19" s="16" t="str">
        <x:v>2026-05-29 11:27</x:v>
      </x:c>
      <x:c r="C19" s="13" t="str">
        <x:v>地址坐标验证：客户地址表单测试、API 路由测试、权限配置与持久化字段检查。</x:v>
      </x:c>
      <x:c r="D19" s="13" t="str">
        <x:v>测试</x:v>
      </x:c>
      <x:c r="E19" s="13" t="str">
        <x:v>规划后端迁移方案</x:v>
      </x:c>
      <x:c r="F19" s="13" t="str">
        <x:v>019e1563-f539-7ab3-8b93-b4de77905936</x:v>
      </x:c>
      <x:c r="G19" s="15" t="n">
        <x:v>1.5</x:v>
      </x:c>
      <x:c r="H19" s="14" t="n">
        <x:f>G19*$K$3</x:f>
        <x:v>300</x:v>
      </x:c>
    </x:row>
    <x:row r="20" ht="43.5" customHeight="1">
      <x:c r="A20" s="16" t="str">
        <x:v>2026-06-01 09:44</x:v>
      </x:c>
      <x:c r="B20" s="16" t="str">
        <x:v>2026-06-02 11:19</x:v>
      </x:c>
      <x:c r="C20" s="13" t="str">
        <x:v>新建并同步快递地址需求评估：讨论同城地址保存后是否复制为快递地址、是否建立关联和后续修改边界。</x:v>
      </x:c>
      <x:c r="D20" s="13" t="str">
        <x:v>讨论需求</x:v>
      </x:c>
      <x:c r="E20" s="13" t="str">
        <x:v>评估新建并同步快递地址</x:v>
      </x:c>
      <x:c r="F20" s="13" t="str">
        <x:v>019e80da-a41c-7792-97da-8a648a564fc6</x:v>
      </x:c>
      <x:c r="G20" s="15" t="n">
        <x:v>2.5</x:v>
      </x:c>
      <x:c r="H20" s="14" t="n">
        <x:f>G20*$K$3</x:f>
        <x:v>500</x:v>
      </x:c>
    </x:row>
    <x:row r="21" ht="43.5" customHeight="1">
      <x:c r="A21" s="16" t="str">
        <x:v>2026-06-01 09:44</x:v>
      </x:c>
      <x:c r="B21" s="16" t="str">
        <x:v>2026-06-02 11:19</x:v>
      </x:c>
      <x:c r="C21" s="13" t="str">
        <x:v>同步快递地址方案设计：明确无关联复制、表单入口、城市/快递地址字段差异和用户体验取舍。</x:v>
      </x:c>
      <x:c r="D21" s="13" t="str">
        <x:v>设计</x:v>
      </x:c>
      <x:c r="E21" s="13" t="str">
        <x:v>评估新建并同步快递地址</x:v>
      </x:c>
      <x:c r="F21" s="13" t="str">
        <x:v>019e80da-a41c-7792-97da-8a648a564fc6</x:v>
      </x:c>
      <x:c r="G21" s="15" t="n">
        <x:v>2.5</x:v>
      </x:c>
      <x:c r="H21" s="14" t="n">
        <x:f>G21*$K$3</x:f>
        <x:v>500</x:v>
      </x:c>
    </x:row>
    <x:row r="22" ht="43.5" customHeight="1">
      <x:c r="A22" s="16" t="str">
        <x:v>2026-06-02 11:20</x:v>
      </x:c>
      <x:c r="B22" s="16" t="str">
        <x:v>2026-06-02 11:26</x:v>
      </x:c>
      <x:c r="C22" s="13" t="str">
        <x:v>修复再次选址进入自建页：移除 location-picker fallback，重新选择始终走原生 wx.chooseLocation 并带入已有经纬度。</x:v>
      </x:c>
      <x:c r="D22" s="13" t="str">
        <x:v>开发</x:v>
      </x:c>
      <x:c r="E22" s="13" t="str">
        <x:v>修复再次选址进入自建页</x:v>
      </x:c>
      <x:c r="F22" s="13" t="str">
        <x:v>019e8658-7bf9-7691-9e7f-49619d98215f</x:v>
      </x:c>
      <x:c r="G22" s="15" t="n">
        <x:v>3</x:v>
      </x:c>
      <x:c r="H22" s="14" t="n">
        <x:f>G22*$K$3</x:f>
        <x:v>600</x:v>
      </x:c>
    </x:row>
    <x:row r="23" ht="43.5" customHeight="1">
      <x:c r="A23" s="16" t="str">
        <x:v>2026-06-02 11:20</x:v>
      </x:c>
      <x:c r="B23" s="16" t="str">
        <x:v>2026-06-02 11:26</x:v>
      </x:c>
      <x:c r="C23" s="13" t="str">
        <x:v>再次选址回归验证：目标测试、客户小程序 typecheck、全量测试、构建和旧路径引用检查。</x:v>
      </x:c>
      <x:c r="D23" s="13" t="str">
        <x:v>测试</x:v>
      </x:c>
      <x:c r="E23" s="13" t="str">
        <x:v>修复再次选址进入自建页</x:v>
      </x:c>
      <x:c r="F23" s="13" t="str">
        <x:v>019e8658-7bf9-7691-9e7f-49619d98215f</x:v>
      </x:c>
      <x:c r="G23" s="15" t="n">
        <x:v>1</x:v>
      </x:c>
      <x:c r="H23" s="14" t="n">
        <x:f>G23*$K$3</x:f>
        <x:v>200</x:v>
      </x:c>
    </x:row>
    <x:row r="24" ht="43.5" customHeight="1">
      <x:c r="A24" s="16" t="str">
        <x:v>2026-06-02 14:50</x:v>
      </x:c>
      <x:c r="B24" s="16" t="str">
        <x:v>2026-06-02 23:29</x:v>
      </x:c>
      <x:c r="C24" s="13" t="str">
        <x:v>500+ 商品列表性能需求讨论：评估分页、图片/OSS 请求成本、商户端和用户端首屏加载压力。</x:v>
      </x:c>
      <x:c r="D24" s="13" t="str">
        <x:v>讨论需求</x:v>
      </x:c>
      <x:c r="E24" s="13" t="str">
        <x:v>优化商品列表加载性能</x:v>
      </x:c>
      <x:c r="F24" s="13" t="str">
        <x:v>019e8719-27d5-75e3-be5f-988240a72d4c</x:v>
      </x:c>
      <x:c r="G24" s="15" t="n">
        <x:v>2</x:v>
      </x:c>
      <x:c r="H24" s="14" t="n">
        <x:f>G24*$K$3</x:f>
        <x:v>400</x:v>
      </x:c>
    </x:row>
    <x:row r="25" ht="43.5" customHeight="1">
      <x:c r="A25" s="16" t="str">
        <x:v>2026-06-02 14:50</x:v>
      </x:c>
      <x:c r="B25" s="16" t="str">
        <x:v>2026-06-02 23:29</x:v>
      </x:c>
      <x:c r="C25" s="13" t="str">
        <x:v>商品列表性能与履约品类设计：分页加载、按履约方式过滤右侧 section、保持左侧分类和右侧商品流一致。</x:v>
      </x:c>
      <x:c r="D25" s="13" t="str">
        <x:v>设计</x:v>
      </x:c>
      <x:c r="E25" s="13" t="str">
        <x:v>优化商品列表加载性能</x:v>
      </x:c>
      <x:c r="F25" s="13" t="str">
        <x:v>019e8719-27d5-75e3-be5f-988240a72d4c</x:v>
      </x:c>
      <x:c r="G25" s="15" t="n">
        <x:v>5</x:v>
      </x:c>
      <x:c r="H25" s="14" t="n">
        <x:f>G25*$K$3</x:f>
        <x:v>1000</x:v>
      </x:c>
    </x:row>
    <x:row r="26" ht="43.5" customHeight="1">
      <x:c r="A26" s="16" t="str">
        <x:v>2026-06-02 14:50</x:v>
      </x:c>
      <x:c r="B26" s="16" t="str">
        <x:v>2026-06-02 23:29</x:v>
      </x:c>
      <x:c r="C26" s="13" t="str">
        <x:v>实现商品列表性能优化与空品类修复：catalog 加载逻辑、右侧 section 过滤、运行时构建产物同步。</x:v>
      </x:c>
      <x:c r="D26" s="13" t="str">
        <x:v>开发</x:v>
      </x:c>
      <x:c r="E26" s="13" t="str">
        <x:v>优化商品列表加载性能</x:v>
      </x:c>
      <x:c r="F26" s="13" t="str">
        <x:v>019e8719-27d5-75e3-be5f-988240a72d4c</x:v>
      </x:c>
      <x:c r="G26" s="15" t="n">
        <x:v>4.5</x:v>
      </x:c>
      <x:c r="H26" s="14" t="n">
        <x:f>G26*$K$3</x:f>
        <x:v>900</x:v>
      </x:c>
    </x:row>
    <x:row r="27" ht="43.5" customHeight="1">
      <x:c r="A27" s="16" t="str">
        <x:v>2026-06-02 14:50</x:v>
      </x:c>
      <x:c r="B27" s="16" t="str">
        <x:v>2026-06-02 23:29</x:v>
      </x:c>
      <x:c r="C27" s="13" t="str">
        <x:v>商品列表性能验证：catalog service、discovery-cart 回归、typecheck 和客户小程序 build。</x:v>
      </x:c>
      <x:c r="D27" s="13" t="str">
        <x:v>测试</x:v>
      </x:c>
      <x:c r="E27" s="13" t="str">
        <x:v>优化商品列表加载性能</x:v>
      </x:c>
      <x:c r="F27" s="13" t="str">
        <x:v>019e8719-27d5-75e3-be5f-988240a72d4c</x:v>
      </x:c>
      <x:c r="G27" s="15" t="n">
        <x:v>1.5</x:v>
      </x:c>
      <x:c r="H27" s="14" t="n">
        <x:f>G27*$K$3</x:f>
        <x:v>300</x:v>
      </x:c>
    </x:row>
    <x:row r="28" ht="43.5" customHeight="1">
      <x:c r="A28" s="16" t="str">
        <x:v>2026-06-09 13:48</x:v>
      </x:c>
      <x:c r="B28" s="16" t="str">
        <x:v>2026-06-09 16:58</x:v>
      </x:c>
      <x:c r="C28" s="13" t="str">
        <x:v>商品删除/商品规格接口联调修复：定位用户端列表 summary 缺少 specs，补齐 API 列表返回字段，解决首次打开规格弹层缺尺寸。</x:v>
      </x:c>
      <x:c r="D28" s="13" t="str">
        <x:v>开发</x:v>
      </x:c>
      <x:c r="E28" s="13" t="str">
        <x:v>排查商户端商品删除500</x:v>
      </x:c>
      <x:c r="F28" s="13" t="str">
        <x:v>019eaaec-7313-7322-b3c6-eaf6ce7cbd15</x:v>
      </x:c>
      <x:c r="G28" s="15" t="n">
        <x:v>5</x:v>
      </x:c>
      <x:c r="H28" s="14" t="n">
        <x:f>G28*$K$3</x:f>
        <x:v>1000</x:v>
      </x:c>
    </x:row>
    <x:row r="29" ht="43.5" customHeight="1">
      <x:c r="A29" s="16" t="str">
        <x:v>2026-06-09 13:48</x:v>
      </x:c>
      <x:c r="B29" s="16" t="str">
        <x:v>2026-06-09 16:58</x:v>
      </x:c>
      <x:c r="C29" s="13" t="str">
        <x:v>商品规格链路验证：API catalog service/routes 测试、用户端 catalog service 测试、API 和客户小程序 typecheck/build。</x:v>
      </x:c>
      <x:c r="D29" s="13" t="str">
        <x:v>测试</x:v>
      </x:c>
      <x:c r="E29" s="13" t="str">
        <x:v>排查商户端商品删除500</x:v>
      </x:c>
      <x:c r="F29" s="13" t="str">
        <x:v>019eaaec-7313-7322-b3c6-eaf6ce7cbd15</x:v>
      </x:c>
      <x:c r="G29" s="15" t="n">
        <x:v>1.5</x:v>
      </x:c>
      <x:c r="H29" s="14" t="n">
        <x:f>G29*$K$3</x:f>
        <x:v>300</x:v>
      </x:c>
    </x:row>
    <x:row r="30" ht="43.5" customHeight="1">
      <x:c r="A30" s="16" t="str">
        <x:v>2026-06-09 16:58</x:v>
      </x:c>
      <x:c r="B30" s="16" t="str">
        <x:v>2026-06-09 17:05</x:v>
      </x:c>
      <x:c r="C30" s="13" t="str">
        <x:v>修复商户端品类商品数量不一致：品类页改为使用后端 linkedProductCount，避免用商品第一页 20 条覆盖后端统计 28。</x:v>
      </x:c>
      <x:c r="D30" s="13" t="str">
        <x:v>开发</x:v>
      </x:c>
      <x:c r="E30" s="13" t="str">
        <x:v>排查品类商品数量不一致</x:v>
      </x:c>
      <x:c r="F30" s="13" t="str">
        <x:v>019eab9a-c2a3-79f2-b265-083b64491662</x:v>
      </x:c>
      <x:c r="G30" s="15" t="n">
        <x:v>2</x:v>
      </x:c>
      <x:c r="H30" s="14" t="n">
        <x:f>G30*$K$3</x:f>
        <x:v>400</x:v>
      </x:c>
    </x:row>
    <x:row r="31" ht="43.5" customHeight="1">
      <x:c r="A31" s="16" t="str">
        <x:v>2026-06-09 16:58</x:v>
      </x:c>
      <x:c r="B31" s="16" t="str">
        <x:v>2026-06-09 17:05</x:v>
      </x:c>
      <x:c r="C31" s="13" t="str">
        <x:v>品类数量验证：新增后端统计 28/商品分页 20 的回归测试，商户端 typecheck 和 build。</x:v>
      </x:c>
      <x:c r="D31" s="13" t="str">
        <x:v>测试</x:v>
      </x:c>
      <x:c r="E31" s="13" t="str">
        <x:v>排查品类商品数量不一致</x:v>
      </x:c>
      <x:c r="F31" s="13" t="str">
        <x:v>019eab9a-c2a3-79f2-b265-083b64491662</x:v>
      </x:c>
      <x:c r="G31" s="15" t="n">
        <x:v>1</x:v>
      </x:c>
      <x:c r="H31" s="14" t="n">
        <x:f>G31*$K$3</x:f>
        <x:v>200</x:v>
      </x:c>
    </x:row>
  </x:sheetData>
  <x:mergeCells>
    <x:mergeCell ref="A2:H2"/>
    <x:mergeCell ref="J2:K2"/>
  </x:mergeCells>
  <x:dataValidations count="1">
    <x:dataValidation type="list" sqref="D5:D31">
      <x:formula1>"讨论需求,设计,开发,测试"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bca55a00e44e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22.780000686645508" hidden="0" customWidth="1"/>
    <x:col min="3" max="3" width="2.7799999713897705" hidden="0" customWidth="1"/>
    <x:col min="4" max="4" width="11.670000076293945" hidden="0" customWidth="1"/>
    <x:col min="5" max="5" width="8.890000343322754" hidden="0" customWidth="1"/>
    <x:col min="6" max="6" width="10" hidden="0" customWidth="1"/>
  </x:cols>
  <x:sheetData>
    <x:row r="1" ht="19.5" customHeight="1">
      <x:c r="A1" s="4" t="str">
        <x:v>XiAiPet 宠物烘焙 - 开发费用汇总</x:v>
      </x:c>
      <x:c r="B1" s="4" t="str"/>
      <x:c r="C1" s="4" t="str"/>
      <x:c r="D1" s="4" t="str"/>
      <x:c r="E1" s="4" t="str"/>
      <x:c r="F1" s="4" t="str"/>
    </x:row>
    <x:row r="2" ht="19.5" customHeight="1"/>
    <x:row r="3" ht="19.5" customHeight="1">
      <x:c r="A3" s="23" t="str">
        <x:v>项目</x:v>
      </x:c>
      <x:c r="B3" s="13" t="str">
        <x:v>XiAiPet 宠物烘焙</x:v>
      </x:c>
      <x:c r="D3" s="10" t="str">
        <x:v>工作类型</x:v>
      </x:c>
      <x:c r="E3" s="10" t="str">
        <x:v>工时</x:v>
      </x:c>
      <x:c r="F3" s="10" t="str">
        <x:v>占比</x:v>
      </x:c>
    </x:row>
    <x:row r="4" ht="19.5" customHeight="1">
      <x:c r="A4" s="23" t="str">
        <x:v>统计来源</x:v>
      </x:c>
      <x:c r="B4" s="13" t="str">
        <x:v>Codex xiaipet 线程树</x:v>
      </x:c>
      <x:c r="D4" s="13" t="str">
        <x:v>讨论需求</x:v>
      </x:c>
      <x:c r="E4" s="15" t="n">
        <x:f>'工时明细'!K10</x:f>
        <x:v>11.5</x:v>
      </x:c>
      <x:c r="F4" s="24" t="n">
        <x:f>E4/$B$7</x:f>
        <x:v>0.14375</x:v>
      </x:c>
    </x:row>
    <x:row r="5" ht="19.5" customHeight="1">
      <x:c r="A5" s="23" t="str">
        <x:v>统计期间</x:v>
      </x:c>
      <x:c r="B5" s="13" t="str">
        <x:v>2026-05-11 至 2026-06-09</x:v>
      </x:c>
      <x:c r="D5" s="13" t="str">
        <x:v>设计</x:v>
      </x:c>
      <x:c r="E5" s="15" t="n">
        <x:f>'工时明细'!K11</x:f>
        <x:v>19.5</x:v>
      </x:c>
      <x:c r="F5" s="24" t="n">
        <x:f>E5/$B$7</x:f>
        <x:v>0.24375</x:v>
      </x:c>
    </x:row>
    <x:row r="6" ht="19.5" customHeight="1">
      <x:c r="A6" s="23" t="str">
        <x:v>工时单价</x:v>
      </x:c>
      <x:c r="B6" s="14" t="n">
        <x:f>'工时明细'!K3</x:f>
        <x:v>200</x:v>
      </x:c>
      <x:c r="D6" s="13" t="str">
        <x:v>开发</x:v>
      </x:c>
      <x:c r="E6" s="15" t="n">
        <x:f>'工时明细'!K12</x:f>
        <x:v>37</x:v>
      </x:c>
      <x:c r="F6" s="24" t="n">
        <x:f>E6/$B$7</x:f>
        <x:v>0.4625</x:v>
      </x:c>
    </x:row>
    <x:row r="7" ht="19.5" customHeight="1">
      <x:c r="A7" s="23" t="str">
        <x:v>总开发工时</x:v>
      </x:c>
      <x:c r="B7" s="15" t="n">
        <x:f>'工时明细'!K4</x:f>
        <x:v>80</x:v>
      </x:c>
      <x:c r="D7" s="13" t="str">
        <x:v>测试</x:v>
      </x:c>
      <x:c r="E7" s="15" t="n">
        <x:f>'工时明细'!K13</x:f>
        <x:v>12</x:v>
      </x:c>
      <x:c r="F7" s="24" t="n">
        <x:f>E7/$B$7</x:f>
        <x:v>0.15</x:v>
      </x:c>
    </x:row>
    <x:row r="8" ht="19.5" customHeight="1">
      <x:c r="A8" s="23" t="str">
        <x:v>开发费用合计</x:v>
      </x:c>
      <x:c r="B8" s="14" t="n">
        <x:f>'工时明细'!K5</x:f>
        <x:v>16000</x:v>
      </x:c>
    </x:row>
    <x:row r="9" ht="19.5" customHeight="1"/>
    <x:row r="10" ht="19.5" customHeight="1">
      <x:c r="A10" s="10" t="str">
        <x:v>费用说明</x:v>
      </x:c>
      <x:c r="B10" s="10" t="str">
        <x:v>费用说明</x:v>
      </x:c>
      <x:c r="C10" s="10" t="str">
        <x:v>费用说明</x:v>
      </x:c>
      <x:c r="D10" s="10" t="str">
        <x:v>费用说明</x:v>
      </x:c>
      <x:c r="E10" s="10" t="str">
        <x:v>费用说明</x:v>
      </x:c>
      <x:c r="F10" s="10" t="str">
        <x:v>费用说明</x:v>
      </x:c>
    </x:row>
    <x:row r="11" ht="60" customHeight="1">
      <x:c r="A11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B11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C11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D11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E11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F11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</x:row>
    <x:row r="12" ht="60" customHeight="1">
      <x:c r="A12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B12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C12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D12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E12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F12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</x:row>
    <x:row r="13" ht="60" customHeight="1">
      <x:c r="A13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B13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C13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D13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E13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F13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</x:row>
    <x:row r="14" ht="60" customHeight="1">
      <x:c r="A14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B14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C14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D14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E14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  <x:c r="F14" s="13" t="str">
        <x:v>本表按当前 Codex 中 xiaipet 相关线程树整理，覆盖需求讨论、技术设计、开发实现和测试验证。工时为向甲方结算使用的估算口径，默认单价 200 元/小时；如需调整，只修改“工时明细”K3 或“费用汇总”B6，费用会自动重算。</x:v>
      </x:c>
    </x:row>
  </x:sheetData>
  <x:mergeCells>
    <x:mergeCell ref="A10:F10"/>
    <x:mergeCell ref="A11:F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9.440000534057617" hidden="0" customWidth="1"/>
    <x:col min="3" max="3" width="13.329999923706055" hidden="0" customWidth="1"/>
    <x:col min="4" max="4" width="13.329999923706055" hidden="0" customWidth="1"/>
    <x:col min="5" max="5" width="40" hidden="0" customWidth="1"/>
  </x:cols>
  <x:sheetData>
    <x:row r="1">
      <x:c r="A1" s="4" t="str">
        <x:v>线程来源</x:v>
      </x:c>
      <x:c r="B1" s="4" t="str"/>
      <x:c r="C1" s="4" t="str"/>
      <x:c r="D1" s="4" t="str"/>
      <x:c r="E1" s="4" t="str"/>
    </x:row>
    <x:row r="3">
      <x:c r="A3" s="10" t="str">
        <x:v>线程标题</x:v>
      </x:c>
      <x:c r="B3" s="10" t="str">
        <x:v>线程ID</x:v>
      </x:c>
      <x:c r="C3" s="10" t="str">
        <x:v>开始时间</x:v>
      </x:c>
      <x:c r="D3" s="10" t="str">
        <x:v>结束时间</x:v>
      </x:c>
      <x:c r="E3" s="10" t="str">
        <x:v>纳入统计内容</x:v>
      </x:c>
    </x:row>
    <x:row r="4" ht="36" customHeight="1">
      <x:c r="A4" s="13" t="str">
        <x:v>规划后端迁移方案</x:v>
      </x:c>
      <x:c r="B4" s="13" t="str">
        <x:v>019e1563-f539-7ab3-8b93-b4de77905936</x:v>
      </x:c>
      <x:c r="C4" s="13" t="str">
        <x:v>2026-05-11 12:55</x:v>
      </x:c>
      <x:c r="D4" s="13" t="str">
        <x:v>2026-05-29 11:27</x:v>
      </x:c>
      <x:c r="E4" s="13" t="str">
        <x:v>后端迁移、余额规则、地址经纬度、门店坐标 SQL 路径</x:v>
      </x:c>
    </x:row>
    <x:row r="5" ht="36" customHeight="1">
      <x:c r="A5" s="13" t="str">
        <x:v>查明卡片跳转未实现 / 商品左滑删除</x:v>
      </x:c>
      <x:c r="B5" s="13" t="str">
        <x:v>019e2052-bf35-7313-a496-628d8f60da3b</x:v>
      </x:c>
      <x:c r="C5" s="13" t="str">
        <x:v>2026-05-13 15:52</x:v>
      </x:c>
      <x:c r="D5" s="13" t="str">
        <x:v>2026-05-16 11:28</x:v>
      </x:c>
      <x:c r="E5" s="13" t="str">
        <x:v>商户工作台、商品管理左滑删除、API 删除链路</x:v>
      </x:c>
    </x:row>
    <x:row r="6" ht="36" customHeight="1">
      <x:c r="A6" s="13" t="str">
        <x:v>实现用户端品类展示</x:v>
      </x:c>
      <x:c r="B6" s="13" t="str">
        <x:v>019e2e8c-b12a-7031-b1b2-d6b64f317f58</x:v>
      </x:c>
      <x:c r="C6" s="13" t="str">
        <x:v>2026-05-16 10:10</x:v>
      </x:c>
      <x:c r="D6" s="13" t="str">
        <x:v>2026-05-21 14:54</x:v>
      </x:c>
      <x:c r="E6" s="13" t="str">
        <x:v>用户端品类、订单宠物快照、商户订单详情</x:v>
      </x:c>
    </x:row>
    <x:row r="7" ht="36" customHeight="1">
      <x:c r="A7" s="13" t="str">
        <x:v>评估新建并同步快递地址</x:v>
      </x:c>
      <x:c r="B7" s="13" t="str">
        <x:v>019e80da-a41c-7792-97da-8a648a564fc6</x:v>
      </x:c>
      <x:c r="C7" s="13" t="str">
        <x:v>2026-06-01 09:44</x:v>
      </x:c>
      <x:c r="D7" s="13" t="str">
        <x:v>2026-06-02 11:19</x:v>
      </x:c>
      <x:c r="E7" s="13" t="str">
        <x:v>同城地址同步快递地址方案讨论</x:v>
      </x:c>
    </x:row>
    <x:row r="8" ht="36" customHeight="1">
      <x:c r="A8" s="13" t="str">
        <x:v>修复再次选址进入自建页</x:v>
      </x:c>
      <x:c r="B8" s="13" t="str">
        <x:v>019e8658-7bf9-7691-9e7f-49619d98215f</x:v>
      </x:c>
      <x:c r="C8" s="13" t="str">
        <x:v>2026-06-02 11:20</x:v>
      </x:c>
      <x:c r="D8" s="13" t="str">
        <x:v>2026-06-02 11:26</x:v>
      </x:c>
      <x:c r="E8" s="13" t="str">
        <x:v>wx.chooseLocation 原生地图重选</x:v>
      </x:c>
    </x:row>
    <x:row r="9" ht="36" customHeight="1">
      <x:c r="A9" s="13" t="str">
        <x:v>优化商品列表加载性能</x:v>
      </x:c>
      <x:c r="B9" s="13" t="str">
        <x:v>019e8719-27d5-75e3-be5f-988240a72d4c</x:v>
      </x:c>
      <x:c r="C9" s="13" t="str">
        <x:v>2026-06-02 14:50</x:v>
      </x:c>
      <x:c r="D9" s="13" t="str">
        <x:v>2026-06-02 23:29</x:v>
      </x:c>
      <x:c r="E9" s="13" t="str">
        <x:v>500+ 商品分页、履约品类过滤、空品类修复</x:v>
      </x:c>
    </x:row>
    <x:row r="10" ht="36" customHeight="1">
      <x:c r="A10" s="13" t="str">
        <x:v>排查商户端商品删除500</x:v>
      </x:c>
      <x:c r="B10" s="13" t="str">
        <x:v>019eaaec-7313-7322-b3c6-eaf6ce7cbd15</x:v>
      </x:c>
      <x:c r="C10" s="13" t="str">
        <x:v>2026-06-09 13:48</x:v>
      </x:c>
      <x:c r="D10" s="13" t="str">
        <x:v>2026-06-09 16:58</x:v>
      </x:c>
      <x:c r="E10" s="13" t="str">
        <x:v>商品规格字段接口联调与验证</x:v>
      </x:c>
    </x:row>
    <x:row r="11" ht="36" customHeight="1">
      <x:c r="A11" s="13" t="str">
        <x:v>排查品类商品数量不一致</x:v>
      </x:c>
      <x:c r="B11" s="13" t="str">
        <x:v>019eab9a-c2a3-79f2-b265-083b64491662</x:v>
      </x:c>
      <x:c r="C11" s="13" t="str">
        <x:v>2026-06-09 16:58</x:v>
      </x:c>
      <x:c r="D11" s="13" t="str">
        <x:v>2026-06-09 17:05</x:v>
      </x:c>
      <x:c r="E11" s="13" t="str">
        <x:v>品类商品数量统计修复</x:v>
      </x:c>
    </x:row>
  </x:sheetData>
  <x:pageMargins left="0.7" right="0.7" top="0.75" bottom="0.75" header="0.3" footer="0.3"/>
  <x:tableParts count="1">
    <x:tablePart xmlns:r="http://schemas.openxmlformats.org/officeDocument/2006/relationships" r:id="R52bf34494b874ae7"/>
  </x:tableParts>
</x:worksheet>
</file>