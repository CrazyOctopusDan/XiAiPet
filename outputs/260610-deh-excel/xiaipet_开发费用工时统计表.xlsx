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/>
  <mc:AlternateContent xmlns:mc="http://schemas.openxmlformats.org/markup-compatibility/2006">
    <mc:Choice Requires="x15">
      <x15ac:absPath xmlns:x15ac="http://schemas.microsoft.com/office/spreadsheetml/2010/11/ac" url="/Users/zhangyi/zhangyi/homework/xiaipet/outputs/260610-deh-excel/"/>
    </mc:Choice>
  </mc:AlternateContent>
  <xr:revisionPtr revIDLastSave="0" documentId="13_ncr:1_{7C0816B5-1B46-F845-97EC-05FA9544B1C6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工时明细" sheetId="1" r:id="rId1"/>
    <sheet name="费用汇总" sheetId="2" r:id="rId2"/>
    <sheet name="会话来源" sheetId="3" r:id="rId3"/>
    <sheet name="阶段摘要" sheetId="4" r:id="rId4"/>
  </sheets>
  <calcPr calcId="191029"/>
</workbook>
</file>

<file path=xl/calcChain.xml><?xml version="1.0" encoding="utf-8"?>
<calcChain xmlns="http://schemas.openxmlformats.org/spreadsheetml/2006/main">
  <c r="B9" i="2" l="1"/>
  <c r="B6" i="2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K14" i="1"/>
  <c r="E7" i="2" s="1"/>
  <c r="H14" i="1"/>
  <c r="K13" i="1"/>
  <c r="E6" i="2" s="1"/>
  <c r="H13" i="1"/>
  <c r="K12" i="1"/>
  <c r="E5" i="2" s="1"/>
  <c r="H12" i="1"/>
  <c r="K11" i="1"/>
  <c r="E4" i="2" s="1"/>
  <c r="H11" i="1"/>
  <c r="H10" i="1"/>
  <c r="H9" i="1"/>
  <c r="H8" i="1"/>
  <c r="H7" i="1"/>
  <c r="H6" i="1"/>
  <c r="H5" i="1"/>
  <c r="K4" i="1"/>
  <c r="K5" i="1" s="1"/>
  <c r="B8" i="2" s="1"/>
  <c r="B7" i="2" l="1"/>
  <c r="F7" i="2" s="1"/>
  <c r="F4" i="2" l="1"/>
  <c r="F5" i="2"/>
  <c r="F6" i="2"/>
</calcChain>
</file>

<file path=xl/sharedStrings.xml><?xml version="1.0" encoding="utf-8"?>
<sst xmlns="http://schemas.openxmlformats.org/spreadsheetml/2006/main" count="1229" uniqueCount="686">
  <si>
    <t>XiAiPet 宠物烘焙 - 开发费用工时统计表（完整补充版）</t>
  </si>
  <si>
    <t>统计口径：从 Codex session 019d96ca-adcb-7981-9525-eb33739d8118 开始，纳入 xiaipet 工作区后续产品开发、迁移、修复和验证；不纳入本次费用表生成会话。</t>
  </si>
  <si>
    <t>费用统计</t>
  </si>
  <si>
    <t>工时单价</t>
  </si>
  <si>
    <t>开始时间</t>
  </si>
  <si>
    <t>结束时间</t>
  </si>
  <si>
    <t>工作内容</t>
  </si>
  <si>
    <t>工作类型</t>
  </si>
  <si>
    <t>来源会话ID</t>
  </si>
  <si>
    <t>工作包/阶段</t>
  </si>
  <si>
    <t>开发工时</t>
  </si>
  <si>
    <t>小计费用</t>
  </si>
  <si>
    <t>总开发工时</t>
  </si>
  <si>
    <t>2026-04-16 22:55</t>
  </si>
  <si>
    <t>2026-04-17 07:02</t>
  </si>
  <si>
    <t>Phase 2 验收推进与 Phase 3/4 工作流衔接：核对商品发现链路状态，进入购物车、个人中心、地址和宠物资料开发阶段。</t>
  </si>
  <si>
    <t>讨论需求</t>
  </si>
  <si>
    <t>019d96ca-adcb-7981-9525-eb33739d8118</t>
  </si>
  <si>
    <t>Phase 2 验收 / Phase 3-4 启动</t>
  </si>
  <si>
    <t>开发费用合计</t>
  </si>
  <si>
    <t>购物车与规格选择设计：定义 cart row 身份、规格切换、库存上限、跨页面数量同步、结算入口边界。</t>
  </si>
  <si>
    <t>设计</t>
  </si>
  <si>
    <t>Phase 3 Cart State</t>
  </si>
  <si>
    <t>来源会话数</t>
  </si>
  <si>
    <t>购物车状态中心开发：共享 cart service、列表/搜索/详情加购、规格弹层、购物车页选中/清空/删除、结算占位路由。</t>
  </si>
  <si>
    <t>开发</t>
  </si>
  <si>
    <t>计费明细行数</t>
  </si>
  <si>
    <t>购物车链路验证：cart service、discovery-cart、页面路由、规格切换与库存约束测试。</t>
  </si>
  <si>
    <t>测试</t>
  </si>
  <si>
    <t>起始会话</t>
  </si>
  <si>
    <t>个人中心与订单前上下文设计：资料、手机号绑定、同城/快递地址、宠物资料、余额流水、结算选择契约。</t>
  </si>
  <si>
    <t>Phase 4 Account/Pets/Address</t>
  </si>
  <si>
    <t>个人中心、地址、宠物与余额页面开发：profile hub/detail、address list/form、pet list/form、balance ledger、checkout 回填链路。</t>
  </si>
  <si>
    <t>工时</t>
  </si>
  <si>
    <t>个人中心上下文验证：profile/address/pet/balance 服务测试、页面测试、结算选择回归。</t>
  </si>
  <si>
    <t>2026-04-17 07:01</t>
  </si>
  <si>
    <t>2026-04-17 10:48</t>
  </si>
  <si>
    <t>Phase 5 结算闭环需求确认：三种履约方式、预约时间、地址/电话/宠物/备注、支付后订单闭环。</t>
  </si>
  <si>
    <t>019d9887-8166-70d3-be53-16d020d7ed1c</t>
  </si>
  <si>
    <t>Phase 5 Checkout/Payment/Orders</t>
  </si>
  <si>
    <t>结算、支付与订单设计：配送费、订单快照、余额/微信支付边界、支付确认、订单列表/详情模型。</t>
  </si>
  <si>
    <t>结算支付订单开发：checkout 服务和页面、订单提交、createOrder/createPayment/confirmPayment、orders/order-detail 页面、持久化订单与余额支付事务骨架。</t>
  </si>
  <si>
    <t>结算订单验证：共享定价/订单类型、客户小程序、云函数订单与支付测试，typecheck/build。</t>
  </si>
  <si>
    <t>2026-04-17 10:47</t>
  </si>
  <si>
    <t>2026-04-17 22:20</t>
  </si>
  <si>
    <t>Phase 6 商户端运营范围讨论：订单、品类/商品、用户余额、运行时配置、商户工作台和权限边界。</t>
  </si>
  <si>
    <t>019d9956-433e-7e30-bb88-dab3a1de6b02</t>
  </si>
  <si>
    <t>Phase 6 讨论与规划</t>
  </si>
  <si>
    <t>2026-04-17 15:08</t>
  </si>
  <si>
    <t>Phase 6 研究与 UI 契约：微信内轻量工作台、订单列表/详情、商品三步编辑、用户余额抽屉、分区运营配置、按钮文案与首页焦点修正。</t>
  </si>
  <si>
    <t>019d9a45-03de-7d40-ab04-d44a23eb5d60</t>
  </si>
  <si>
    <t>Phase 6 UI/UX Spec</t>
  </si>
  <si>
    <t>2026-04-17 15:35</t>
  </si>
  <si>
    <t>商户端共享契约开发：履约状态、手工结算审计、品类/商品 schema、组合定价、用户搜索/余额调整、运行时配置固定分区。</t>
  </si>
  <si>
    <t>019d9a5d-ee70-7321-9da1-a05bf0c994af</t>
  </si>
  <si>
    <t>Phase 6 Shared Contracts</t>
  </si>
  <si>
    <t>商户端后端接口开发：merchant orders、order detail/status、category/product CRUD、user search/balance adjust、runtime config handlers、索引和安全规则。</t>
  </si>
  <si>
    <t>019d9bc2-3b83-7fb1-b812-673dd9ffb66e</t>
  </si>
  <si>
    <t>Phase 6 Backend Functions</t>
  </si>
  <si>
    <t>2026-04-18 06:20</t>
  </si>
  <si>
    <t>商户端前端页面开发：订单列表/详情、品类管理、商品列表/三步编辑、用户搜索/详情、运行时配置、工作台入口和路由注册。</t>
  </si>
  <si>
    <t>019d9bc2-3b9d-7253-8a4b-d6da1f744cd7</t>
  </si>
  <si>
    <t>Phase 6 Merchant Miniapp UI</t>
  </si>
  <si>
    <t>用户端运行时配置与余额展示接入：home banner、checkout 店铺/提示/配送说明、余额流水标准化文案。</t>
  </si>
  <si>
    <t>019d9bc2-3bbf-7431-a7c7-2bdb68f60870</t>
  </si>
  <si>
    <t>Phase 6 Customer Runtime Wiring</t>
  </si>
  <si>
    <t>2026-04-17 15:28</t>
  </si>
  <si>
    <t>2026-04-17 22:38</t>
  </si>
  <si>
    <t>Phase 6 覆盖校验与修订：UI spec 校验、计划拆分、覆盖性验证、最终验收、图片持久化和路由校验。</t>
  </si>
  <si>
    <t>019d9a57-4c5a-7990-8aee-e9d4e2c48516</t>
  </si>
  <si>
    <t>Phase 6 Review/Verification</t>
  </si>
  <si>
    <t>2026-04-19 14:42</t>
  </si>
  <si>
    <t>2026-04-20 15:34</t>
  </si>
  <si>
    <t>小程序视觉与导航优化设计：首页四按钮云图片展示、凸起订单 tabbar、page-nav-bar 透明异常、导航迁移检查。</t>
  </si>
  <si>
    <t>019da47a-0c35-7552-9acb-8de54718b126</t>
  </si>
  <si>
    <t>Miniapp UI polish</t>
  </si>
  <si>
    <t>小程序视觉与导航优化开发：替换首页入口图片引用、调整订单页 tabbar 样式、修复导航栏透明显示与页面适配。</t>
  </si>
  <si>
    <t>019da4c3-0399-7551-8fea-a15ece1244c5</t>
  </si>
  <si>
    <t>小程序视觉导航验证：页面结构检查、样式回归、导航迁移检查。</t>
  </si>
  <si>
    <t>019da9d0-2824-7501-86e2-2463b318c8d2</t>
  </si>
  <si>
    <t>2026-04-21 09:55</t>
  </si>
  <si>
    <t>2026-04-21 18:20</t>
  </si>
  <si>
    <t>购物车规格切换和页面重构需求复核：修正规格切换、库存合并、稳定重排、滑删和页面布局质量问题。</t>
  </si>
  <si>
    <t>019dadbf-a31b-7e20-858d-e530774d11f6</t>
  </si>
  <si>
    <t>Cart hardening</t>
  </si>
  <si>
    <t>购物车稳定性修复设计：row reconciliation、stale-stock 防护、服务层质量复核和页面重构方案。</t>
  </si>
  <si>
    <t>019daf45-397e-7f62-97d0-99a21e866f1d</t>
  </si>
  <si>
    <t>购物车规格切换与页面重构开发：修复规格更新、库存合并、购物车行重排、滑删、页面 WXML/WXSS。</t>
  </si>
  <si>
    <t>019daf53-d476-7cc3-8fd8-be1e7a6145cd</t>
  </si>
  <si>
    <t>购物车稳定性回归：多轮 code review、spec compliance、页面质量复查和测试补充。</t>
  </si>
  <si>
    <t>019daf89-4f7e-7db3-9bbf-4a0fc8ab7658</t>
  </si>
  <si>
    <t>2026-05-05 09:58</t>
  </si>
  <si>
    <t>2026-05-05 09:59</t>
  </si>
  <si>
    <t>商户端小票打印方案确认：订单快照生成小票、BLE 本地打印、打印结果审计、失败不回滚订单状态。</t>
  </si>
  <si>
    <t>019df5db-6eef-7573-9312-58c4965d872f</t>
  </si>
  <si>
    <t>Receipt printing</t>
  </si>
  <si>
    <t>小票打印技术设计：后端生成 receipt job/base64 chunks，商户端本地绑定 BLE 打印机，订单详情触发打印/重打。</t>
  </si>
  <si>
    <t>小票打印开发：prepareOrderReceiptPrint、recordOrderReceiptPrintResult、打印审计、printer service、打印机设置页、订单详情打印动作。</t>
  </si>
  <si>
    <t>小票打印验证：共享 schema、云函数、BLE 写入队列、订单详情打印入口和审计时间线检查。</t>
  </si>
  <si>
    <t>2026-05-08 19:55</t>
  </si>
  <si>
    <t>余额流水页面优化：调整用户侧余额流水展示、商户调整文案与账本体验。</t>
  </si>
  <si>
    <t>019e0771-6e1a-7b20-9964-6bc9cd58891b</t>
  </si>
  <si>
    <t>Balance ledger polish</t>
  </si>
  <si>
    <t>余额流水页面验证：余额 service/page 文案和回归检查。</t>
  </si>
  <si>
    <t>2026-05-10 16:12</t>
  </si>
  <si>
    <t>2026-05-10 19:45</t>
  </si>
  <si>
    <t>商户身份、CloudBase 环境与云函数上传问题排查：登录 gate、环境配置、上传入口与打包错误。</t>
  </si>
  <si>
    <t>019e10f1-d43b-7c41-8061-85ab35a84b92</t>
  </si>
  <si>
    <t>CloudBase login/deploy fixes</t>
  </si>
  <si>
    <t>商户身份与上传链路修复：merchant gate 同步、CloudBase env、云函数上传入口、打包配置。</t>
  </si>
  <si>
    <t>019e10f9-6f16-7cc3-8fa3-0584e6f521f7</t>
  </si>
  <si>
    <t>商户身份与云函数上传验证：运行时登录、环境变量、上传命令和入口文件检查。</t>
  </si>
  <si>
    <t>019e11a9-134b-7dd2-9d86-a733395b7c0c</t>
  </si>
  <si>
    <t>2026-05-11 12:55</t>
  </si>
  <si>
    <t>2026-05-12 09:00</t>
  </si>
  <si>
    <t>后端迁移需求讨论：确认从 CloudBase 云函数迁移到阿里云 ECS/RDS/OSS，保持双端小程序功能不变。</t>
  </si>
  <si>
    <t>019e1563-f539-7ab3-8b93-b4de77905936</t>
  </si>
  <si>
    <t>Backend migration planning</t>
  </si>
  <si>
    <t>后端迁移总体设计：Fastify、Prisma、MySQL、OSS、Docker Compose、ECS 部署、阶段路线与回滚边界。</t>
  </si>
  <si>
    <t>迁移规划文档与 GSD 路线落地：v1.1 需求、路线图、状态、迁移研究和执行计划。</t>
  </si>
  <si>
    <t>2026-05-12 16:30</t>
  </si>
  <si>
    <t>Phase 7 Node API 基座设计：统一 API 目录、配置/健康检查/错误日志、Docker Compose、ECS 部署 runbook。</t>
  </si>
  <si>
    <t>019e19b2-ab6c-76b2-8513-ee6665475609</t>
  </si>
  <si>
    <t>Phase 7 API foundation</t>
  </si>
  <si>
    <t>Phase 7 Node API 基座开发：Fastify scaffold、config/env、health/error/logging、Docker runtime、部署文档与 baseline verification。</t>
  </si>
  <si>
    <t>Phase 7 API 基座验证：health、配置校验、Docker Compose、本地启动和基线测试。</t>
  </si>
  <si>
    <t>2026-05-12 17:00</t>
  </si>
  <si>
    <t>Phase 8 MySQL 数据模型设计：Prisma schema、RDS 配置、种子数据、repository/transaction、CloudBase 可选导入。</t>
  </si>
  <si>
    <t>Phase 8 MySQL migration</t>
  </si>
  <si>
    <t>Phase 8 数据层开发：Prisma 模型、本地 MySQL、seed pipeline、repository、transaction layer、CloudBase import/verification、RDS 文档。</t>
  </si>
  <si>
    <t>Phase 8 数据层验证：Prisma、seed、repository transaction、import dry-run、RDS checklist。</t>
  </si>
  <si>
    <t>2026-05-12 17:28</t>
  </si>
  <si>
    <t>Phase 9 HTTP API parity 设计：auth/customer/merchant/order/payment/catalog/runtime/receipt API 等价替换 Cloud Functions。</t>
  </si>
  <si>
    <t>Phase 9 HTTP API parity</t>
  </si>
  <si>
    <t>Phase 9 HTTP API 开发：用户身份、商品/配置、订单支付、商户订单、商品用户余额配置、小票打印接口。</t>
  </si>
  <si>
    <t>Phase 9 API parity 验证：接口测试、权限边界、订单支付、商户管理和小票 parity 检查。</t>
  </si>
  <si>
    <t>2026-05-12 15:28</t>
  </si>
  <si>
    <t>2026-05-12 16:12</t>
  </si>
  <si>
    <t>Phase 10 小程序 API client 迁移设计：双端从 wx.cloud.callFunction 切换到统一 HTTP client/config/auth/session。</t>
  </si>
  <si>
    <t>019e1b16-7d8a-7213-a3f4-d54b4b617f02</t>
  </si>
  <si>
    <t>Phase 10 Miniapp API migration</t>
  </si>
  <si>
    <t>Phase 10 客户端服务迁移：bootstrap/catalog/runtime、checkout/payment/orders 服务接入统一 API client。</t>
  </si>
  <si>
    <t>Phase 10 Customer API migration</t>
  </si>
  <si>
    <t>Phase 10 商户端服务迁移：access/order/catalog/user/runtime/printer 服务接入统一 API client，清理 CloudBase 依赖。</t>
  </si>
  <si>
    <t>019e1b2f-93c5-7ec2-b480-92b72d87d73f</t>
  </si>
  <si>
    <t>Phase 10 Merchant API migration</t>
  </si>
  <si>
    <t>Phase 10 迁移验证：双端 API config、服务测试、CloudBase 调用清理、typecheck/build。</t>
  </si>
  <si>
    <t>019e1b3e-9e9c-76a0-8b5f-273197993d5f</t>
  </si>
  <si>
    <t>Phase 11 OSS 资产迁移设计：CloudBase fileId 到 OSS key/url 的存储、上传、迁移和前端展示兼容。</t>
  </si>
  <si>
    <t>Phase 11 OSS asset migration</t>
  </si>
  <si>
    <t>Phase 11 OSS 资产迁移开发：API 上传签名/落库、商品/Banner 图片服务、小程序上传流、迁移脚本和兼容读取。</t>
  </si>
  <si>
    <t>Phase 11 资产迁移验证：上传、读取、迁移脚本、前端预览、CloudBase 图片兼容回归。</t>
  </si>
  <si>
    <t>2026-05-12 17:08</t>
  </si>
  <si>
    <t>Phase 12 生产切换设计：ECS/Nginx/HTTPS、微信合法域名、生产安全、冒烟验证、回滚与 CloudBase 退役闸门。</t>
  </si>
  <si>
    <t>Phase 12 Cutover/security</t>
  </si>
  <si>
    <t>Phase 12 生产切换准备开发：部署配置、诊断安全加固、本地 ECS/RDS/OSS smoke checklist、客户/商户关键流程回归清单。</t>
  </si>
  <si>
    <t>019e1b16-c30c-7201-8989-38ee80a790bd</t>
  </si>
  <si>
    <t>Phase 12 安全与回归验证：安全 review、多轮 re-review、生产 cutover goal 验证、CloudBase retirement gate。</t>
  </si>
  <si>
    <t>019e1b71-bf12-7502-bbcf-2c4932ea74f1</t>
  </si>
  <si>
    <t>2026-05-13 09:26</t>
  </si>
  <si>
    <t>2026-05-13 19:13</t>
  </si>
  <si>
    <t>登录、Docker 与空 JSON 请求问题排查：小程序登录、API Docker module resolution、空 body 请求、商户登录方式调整。</t>
  </si>
  <si>
    <t>019e1ef1-86df-7b32-9562-e1ea288b0e52</t>
  </si>
  <si>
    <t>Login/API runtime fixes</t>
  </si>
  <si>
    <t>双端登录与商户账号密码登录设计：session/token、API 空 body、商户 access gate、暖色登录 UI。</t>
  </si>
  <si>
    <t>019e1f43-a733-7443-97b6-690e40c1577a</t>
  </si>
  <si>
    <t>登录与商户 access gate 开发：修复登录报错、Docker runtime、配置小程序登录、账号密码登录、access gate 重构和暖色样式。</t>
  </si>
  <si>
    <t>019e1fea-5cbf-7111-9054-81f13b7f4eff</t>
  </si>
  <si>
    <t>登录链路验证：双端登录改动、Docker runtime、empty JSON body、商户 access gate 多轮 code review 与运行时检查。</t>
  </si>
  <si>
    <t>019e2106-7935-7ac1-a20e-350c5df42f53</t>
  </si>
  <si>
    <t>2026-05-13 15:52</t>
  </si>
  <si>
    <t>2026-05-16 11:28</t>
  </si>
  <si>
    <t>商户工作台与商品管理需求确认：排查卡片跳转是否未开发，确认商品删除能力和用户端品类展示问题。</t>
  </si>
  <si>
    <t>019e2052-bf35-7313-a496-628d8f60da3b</t>
  </si>
  <si>
    <t>Merchant/category follow-up</t>
  </si>
  <si>
    <t>商品删除与品类展示设计：左滑删除、确认弹窗、DELETE 接口、用户端读取商户配置品类、订单宠物快照。</t>
  </si>
  <si>
    <t>商户商品删除与用户端品类开发：商品删除链路、catalog-admin/API route/repository、用户端品类可见、订单宠物快照和商户订单详情展示。</t>
  </si>
  <si>
    <t>019e2e8c-b12a-7031-b1b2-d6b64f317f58</t>
  </si>
  <si>
    <t>商品删除与品类链路验证：商户 service/page layout、API service、客户订单提交、商户订单服务、typecheck/build。</t>
  </si>
  <si>
    <t>019e2e8e-274c-7b20-b63b-0898eb76f6cc</t>
  </si>
  <si>
    <t>2026-06-01 09:44</t>
  </si>
  <si>
    <t>2026-06-02 11:19</t>
  </si>
  <si>
    <t>新建并同步快递地址需求评估：讨论同城地址保存后复制快递地址、关联关系和后续修改边界。</t>
  </si>
  <si>
    <t>019e80da-a41c-7792-97da-8a648a564fc6</t>
  </si>
  <si>
    <t>Address UX</t>
  </si>
  <si>
    <t>地址同步与地图选址设计：无关联复制、同城/快递字段差异、wx.chooseLocation 重选、经纬度持久化。</t>
  </si>
  <si>
    <t>2026-06-02 11:20</t>
  </si>
  <si>
    <t>2026-06-02 11:26</t>
  </si>
  <si>
    <t>地址地图链路开发：移除自建 location-picker fallback，重选始终走 wx.chooseLocation，带入已有经纬度。</t>
  </si>
  <si>
    <t>019e8658-7bf9-7691-9e7f-49619d98215f</t>
  </si>
  <si>
    <t>地址地图链路验证：客户地址表单测试、权限配置、API 持久化字段和小程序 typecheck/build。</t>
  </si>
  <si>
    <t>2026-06-02 14:50</t>
  </si>
  <si>
    <t>2026-06-02 17:39</t>
  </si>
  <si>
    <t>500+ 商品列表性能需求讨论：分页、图片/OSS 请求成本、商户端和用户端首屏加载压力。</t>
  </si>
  <si>
    <t>019e8719-27d5-75e3-be5f-988240a72d4c</t>
  </si>
  <si>
    <t>Catalog performance</t>
  </si>
  <si>
    <t>商品列表性能设计：summary contract、分页后端、履约方式过滤、缓存和详情流一致性。</t>
  </si>
  <si>
    <t>商品列表性能开发：catalog summary contracts、分页后端、catalog service stores、按履约方式过滤和空品类修复。</t>
  </si>
  <si>
    <t>019e876d-da64-7300-b684-7ddb2b6a231b</t>
  </si>
  <si>
    <t>商品列表性能验证：多轮 spec/code review、pagination tests、catalog service contract、typecheck/build。</t>
  </si>
  <si>
    <t>019e878f-3830-72e2-8bac-f8787a2ef001</t>
  </si>
  <si>
    <t>2026-06-09 13:48</t>
  </si>
  <si>
    <t>2026-06-09 17:05</t>
  </si>
  <si>
    <t>商品删除 500 与品类数量不一致排查：规格字段、列表 summary、linkedProductCount 与分页统计口径。</t>
  </si>
  <si>
    <t>019eaaec-7313-7322-b3c6-eaf6ce7cbd15</t>
  </si>
  <si>
    <t>Recent bug fixes</t>
  </si>
  <si>
    <t>商品规格与品类数量修复开发：API 列表返回 specs、首次规格弹层数据、品类页使用后端 linkedProductCount。</t>
  </si>
  <si>
    <t>商品规格与品类数量验证：API catalog/routes、客户 catalog service、后端统计 28/分页 20 回归、typecheck/build。</t>
  </si>
  <si>
    <t>019eab9a-c2a3-79f2-b265-083b64491662</t>
  </si>
  <si>
    <t>XiAiPet 宠物烘焙 - 开发费用汇总</t>
  </si>
  <si>
    <t>项目</t>
  </si>
  <si>
    <t>XiAiPet 宠物烘焙</t>
  </si>
  <si>
    <t>占比</t>
  </si>
  <si>
    <t>统计来源</t>
  </si>
  <si>
    <t>Codex session 019d96ca-adcb-7981-9525-eb33739d8118 起的 xiaipet 会话 + .planning 阶段摘要</t>
  </si>
  <si>
    <t>统计期间</t>
  </si>
  <si>
    <t>2026-04-16 至 2026-06-09</t>
  </si>
  <si>
    <t>计费说明</t>
  </si>
  <si>
    <t>排除本次费用表生成会话</t>
  </si>
  <si>
    <t>费用说明</t>
  </si>
  <si>
    <t>本表将密集的子会话、review 会话和阶段执行结果合并为可向甲方说明的工作包。右侧总工时和费用均由明细自动汇总；如需调整单价，修改“工时明细”K3 即可自动重算。</t>
  </si>
  <si>
    <t>会话来源</t>
  </si>
  <si>
    <t>从起始 session 开始筛选 cwd 为 xiaipet 的本地 Codex 会话；“是否计费来源”用于排除本次费用表生成会话。</t>
  </si>
  <si>
    <t>会话时间</t>
  </si>
  <si>
    <t>会话ID</t>
  </si>
  <si>
    <t>线程标题</t>
  </si>
  <si>
    <t>是否计费来源</t>
  </si>
  <si>
    <t>本地日志</t>
  </si>
  <si>
    <t>Advance GSD workflow / phase3 4</t>
  </si>
  <si>
    <t>是</t>
  </si>
  <si>
    <t>~/.codex/sessions/2026/04/16/rollout-2026-04-16T22-55-58-019d96ca-adcb-7981-9525-eb33739d8118.jsonl</t>
  </si>
  <si>
    <t>继续推进 phase 5 实施任务'} / phase 5</t>
  </si>
  <si>
    <t>~/.codex/sessions/2026/04/17/rollout-2026-04-17T07-01-50-019d9887-8166-70d3-be53-16d020d7ed1c.jsonl</t>
  </si>
  <si>
    <t>Discuss phase 6 batch / phase 6</t>
  </si>
  <si>
    <t>~/.codex/sessions/2026/04/17/rollout-2026-04-17T10-47-40-019d9956-433e-7e30-bb88-dab3a1de6b02.jsonl</t>
  </si>
  <si>
    <t>Research phase 6 planning</t>
  </si>
  <si>
    <t>~/.codex/sessions/2026/04/17/rollout-2026-04-17T15-08-27-019d9a45-03de-7d40-ab04-d44a23eb5d60.jsonl</t>
  </si>
  <si>
    <t>2026-04-17 15:22</t>
  </si>
  <si>
    <t>019d9a52-537d-7600-9a39-256b7eb144a4</t>
  </si>
  <si>
    <t>创建第6阶段商户运营与运行配置UI设计契约</t>
  </si>
  <si>
    <t>~/.codex/sessions/2026/04/17/rollout-2026-04-17T15-22-59-019d9a52-537d-7600-9a39-256b7eb144a4.jsonl</t>
  </si>
  <si>
    <t>Validate Phase 6 UI spec</t>
  </si>
  <si>
    <t>~/.codex/sessions/2026/04/17/rollout-2026-04-17T15-28-25-019d9a57-4c5a-7990-8aee-e9d4e2c48516.jsonl</t>
  </si>
  <si>
    <t>2026-04-17 15:30</t>
  </si>
  <si>
    <t>019d9a59-2657-7f62-bb6d-6bba200f128c</t>
  </si>
  <si>
    <t>修正 UI-SPEC 按钮文案与首页焦点</t>
  </si>
  <si>
    <t>~/.codex/sessions/2026/04/17/rollout-2026-04-17T15-30-27-019d9a59-2657-7f62-bb6d-6bba200f128c.jsonl</t>
  </si>
  <si>
    <t>2026-04-17 15:32</t>
  </si>
  <si>
    <t>019d9a5a-a135-7362-ac12-fb4817adca4c</t>
  </si>
  <si>
    <t>Validate phase 6 UI spec</t>
  </si>
  <si>
    <t>~/.codex/sessions/2026/04/17/rollout-2026-04-17T15-32-04-019d9a5a-a135-7362-ac12-fb4817adca4c.jsonl</t>
  </si>
  <si>
    <t>Execute phase 06 plans</t>
  </si>
  <si>
    <t>~/.codex/sessions/2026/04/17/rollout-2026-04-17T15-35-40-019d9a5d-ee70-7321-9da1-a05bf0c994af.jsonl</t>
  </si>
  <si>
    <t>2026-04-17 15:45</t>
  </si>
  <si>
    <t>019d9a67-1850-7970-b796-5369f0d824b6</t>
  </si>
  <si>
    <t>(未命名会话)</t>
  </si>
  <si>
    <t>~/.codex/sessions/2026/04/17/rollout-2026-04-17T15-45-40-019d9a67-1850-7970-b796-5369f0d824b6.jsonl</t>
  </si>
  <si>
    <t>2026-04-17 15:51</t>
  </si>
  <si>
    <t>019d9a6c-92d3-7ae3-96bc-4cd2d6b0e433</t>
  </si>
  <si>
    <t>拆分Phase 06计划修复阻塞项回归</t>
  </si>
  <si>
    <t>~/.codex/sessions/2026/04/17/rollout-2026-04-17T15-51-39-019d9a6c-92d3-7ae3-96bc-4cd2d6b0e433.jsonl</t>
  </si>
  <si>
    <t>2026-04-17 16:08</t>
  </si>
  <si>
    <t>019d9a7c-1c42-79c1-8e52-e090e547d0ed</t>
  </si>
  <si>
    <t>验证商户端06阶段修复情况'}'}}##</t>
  </si>
  <si>
    <t>~/.codex/sessions/2026/04/17/rollout-2026-04-17T16-08-38-019d9a7c-1c42-79c1-8e52-e090e547d0ed.jsonl</t>
  </si>
  <si>
    <t>2026-04-17 16:14</t>
  </si>
  <si>
    <t>019d9a81-ef53-7021-ae54-048875f4cb2b</t>
  </si>
  <si>
    <t>Update phase 06 plans</t>
  </si>
  <si>
    <t>~/.codex/sessions/2026/04/17/rollout-2026-04-17T16-14-59-019d9a81-ef53-7021-ae54-048875f4cb2b.jsonl</t>
  </si>
  <si>
    <t>2026-04-17 16:20</t>
  </si>
  <si>
    <t>019d9a87-0628-7da0-9037-6a5be1853125</t>
  </si>
  <si>
    <t>Verify phase 06 coverage</t>
  </si>
  <si>
    <t>~/.codex/sessions/2026/04/17/rollout-2026-04-17T16-20-33-019d9a87-0628-7da0-9037-6a5be1853125.jsonl</t>
  </si>
  <si>
    <t>2026-04-17 16:27</t>
  </si>
  <si>
    <t>019d9a8d-d1fa-7ef1-b5e2-bcb2a8c13fcf</t>
  </si>
  <si>
    <t>补充Phase 06商户余额调整规范化展示</t>
  </si>
  <si>
    <t>~/.codex/sessions/2026/04/17/rollout-2026-04-17T16-27-58-019d9a8d-d1fa-7ef1-b5e2-bcb2a8c13fcf.jsonl</t>
  </si>
  <si>
    <t>2026-04-17 16:32</t>
  </si>
  <si>
    <t>019d9a91-a941-71d1-8e16-b468efd3fd5d</t>
  </si>
  <si>
    <t>验证 Phase 06 全部计划通过</t>
  </si>
  <si>
    <t>~/.codex/sessions/2026/04/17/rollout-2026-04-17T16-32-10-019d9a91-a941-71d1-8e16-b468efd3fd5d.jsonl</t>
  </si>
  <si>
    <t>2026-04-17 16:38</t>
  </si>
  <si>
    <t>019d9a97-12fd-76b1-94b7-debc4596f615</t>
  </si>
  <si>
    <t>Revise phase 06 plans</t>
  </si>
  <si>
    <t>~/.codex/sessions/2026/04/17/rollout-2026-04-17T16-38-05-019d9a97-12fd-76b1-94b7-debc4596f615.jsonl</t>
  </si>
  <si>
    <t>2026-04-17 21:13</t>
  </si>
  <si>
    <t>019d9b93-273f-7e00-b90f-59056efe6c04</t>
  </si>
  <si>
    <t>核验商户端订单商品用户运营配置最终验收</t>
  </si>
  <si>
    <t>~/.codex/sessions/2026/04/17/rollout-2026-04-17T21-13-25-019d9b93-273f-7e00-b90f-59056efe6c04.jsonl</t>
  </si>
  <si>
    <t>2026-04-17 21:18</t>
  </si>
  <si>
    <t>019d9b97-c92d-7e83-96ef-f42314d9e20f</t>
  </si>
  <si>
    <t>Add merchant product image flow</t>
  </si>
  <si>
    <t>~/.codex/sessions/2026/04/17/rollout-2026-04-17T21-18-29-019d9b97-c92d-7e83-96ef-f42314d9e20f.jsonl</t>
  </si>
  <si>
    <t>2026-04-17 21:22</t>
  </si>
  <si>
    <t>019d9b9b-af8a-7580-b3da-91c90b2e7c81</t>
  </si>
  <si>
    <t>验证商户端配置与图片持久化15c6d1e6-6e2f-4d4d-b0f0</t>
  </si>
  <si>
    <t>~/.codex/sessions/2026/04/17/rollout-2026-04-17T21-22-44-019d9b9b-af8a-7580-b3da-91c90b2e7c81.jsonl</t>
  </si>
  <si>
    <t>2026-04-17 21:28</t>
  </si>
  <si>
    <t>019d9ba0-b6bd-72b0-bcb2-f729b96a0afb</t>
  </si>
  <si>
    <t>修正Phase 06计划对齐修订状态</t>
  </si>
  <si>
    <t>~/.codex/sessions/2026/04/17/rollout-2026-04-17T21-28-14-019d9ba0-b6bd-72b0-bcb2-f729b96a0afb.jsonl</t>
  </si>
  <si>
    <t>2026-04-17 21:32</t>
  </si>
  <si>
    <t>019d9ba4-3f1b-7660-b7c0-734c75f87b80</t>
  </si>
  <si>
    <t>完善商户端运行配置与管理路由校验2ое</t>
  </si>
  <si>
    <t>~/.codex/sessions/2026/04/17/rollout-2026-04-17T21-32-05-019d9ba4-3f1b-7660-b7c0-734c75f87b80.jsonl</t>
  </si>
  <si>
    <t>2026-04-17 22:04</t>
  </si>
  <si>
    <t>Execute Phase 06 plan</t>
  </si>
  <si>
    <t>~/.codex/sessions/2026/04/17/rollout-2026-04-17T22-04-50-019d9bc2-3b83-7fb1-b812-673dd9ffb66e.jsonl</t>
  </si>
  <si>
    <t>Execute phase 06-02 plan</t>
  </si>
  <si>
    <t>~/.codex/sessions/2026/04/17/rollout-2026-04-17T22-04-50-019d9bc2-3b9d-7253-8a4b-d6da1f744cd7.jsonl</t>
  </si>
  <si>
    <t>Execute phase 06-03 plan</t>
  </si>
  <si>
    <t>~/.codex/sessions/2026/04/17/rollout-2026-04-17T22-04-51-019d9bc2-3bbf-7431-a7c7-2bdb68f60870.jsonl</t>
  </si>
  <si>
    <t>019d9bd0-67fe-7ac0-b2e9-2a5c4211ca1c</t>
  </si>
  <si>
    <t>~/.codex/sessions/2026/04/17/rollout-2026-04-17T22-20-19-019d9bd0-67fe-7ac0-b2e9-2a5c4211ca1c.jsonl</t>
  </si>
  <si>
    <t>Advance GSD workflow</t>
  </si>
  <si>
    <t>~/.codex/sessions/2026/04/19/rollout-2026-04-19T14-42-35-019da47a-0c35-7552-9acb-8de54718b126.jsonl</t>
  </si>
  <si>
    <t>2026-04-19 16:02</t>
  </si>
  <si>
    <t>更新首页四按钮为腾讯云图片引用展示方案</t>
  </si>
  <si>
    <t>~/.codex/sessions/2026/04/19/rollout-2026-04-19T16-02-17-019da4c3-0399-7551-8fea-a15ece1244c5.jsonl</t>
  </si>
  <si>
    <t>2026-04-20 13:52</t>
  </si>
  <si>
    <t>019da972-ffef-7482-84f3-89188d4b1633</t>
  </si>
  <si>
    <t>调整小程序凸起订单页TabBar为无文字样式</t>
  </si>
  <si>
    <t>~/.codex/sessions/2026/04/20/rollout-2026-04-20T13-52-59-019da972-ffef-7482-84f3-89188d4b1633.jsonl</t>
  </si>
  <si>
    <t>2026-04-20 15:21</t>
  </si>
  <si>
    <t>019da9c4-4f96-77d2-ae6c-4172effd2473</t>
  </si>
  <si>
    <t>修正页面 page-nav-bar 透明显示异常</t>
  </si>
  <si>
    <t>~/.codex/sessions/2026/04/20/rollout-2026-04-20T15-21-48-019da9c4-4f96-77d2-ae6c-4172effd2473.jsonl</t>
  </si>
  <si>
    <t>Inspect miniapp nav migration</t>
  </si>
  <si>
    <t>~/.codex/sessions/2026/04/20/rollout-2026-04-20T15-34-44-019da9d0-2824-7501-86e2-2463b318c8d2.jsonl</t>
  </si>
  <si>
    <t>~/.codex/sessions/2026/04/21/rollout-2026-04-21T09-55-10-019dadbf-a31b-7e20-858d-e530774d11f6.jsonl</t>
  </si>
  <si>
    <t>2026-04-21 17:00</t>
  </si>
  <si>
    <t>Fix cart spec switch flow</t>
  </si>
  <si>
    <t>~/.codex/sessions/2026/04/21/rollout-2026-04-21T17-00-42-019daf45-397e-7f62-97d0-99a21e866f1d.jsonl</t>
  </si>
  <si>
    <t>2026-04-21 17:04</t>
  </si>
  <si>
    <t>019daf48-6b15-7651-83d6-d5c7782cb58e</t>
  </si>
  <si>
    <t>Harden cart spec updates</t>
  </si>
  <si>
    <t>~/.codex/sessions/2026/04/21/rollout-2026-04-21T17-04-12-019daf48-6b15-7651-83d6-d5c7782cb58e.jsonl</t>
  </si>
  <si>
    <t>2026-04-21 17:05</t>
  </si>
  <si>
    <t>019daf49-9490-79f3-b309-dce45f133ba1</t>
  </si>
  <si>
    <t>Review cart spec updates</t>
  </si>
  <si>
    <t>~/.codex/sessions/2026/04/21/rollout-2026-04-21T17-05-28-019daf49-9490-79f3-b309-dce45f133ba1.jsonl</t>
  </si>
  <si>
    <t>2026-04-21 17:09</t>
  </si>
  <si>
    <t>019daf4d-65d9-7cd2-a910-37fbee788045</t>
  </si>
  <si>
    <t>Review cart stock merge fix</t>
  </si>
  <si>
    <t>~/.codex/sessions/2026/04/21/rollout-2026-04-21T17-09-38-019daf4d-65d9-7cd2-a910-37fbee788045.jsonl</t>
  </si>
  <si>
    <t>2026-04-21 17:12</t>
  </si>
  <si>
    <t>019daf50-1a09-7e92-bef7-f225450534e2</t>
  </si>
  <si>
    <t>Re-review cart fixes</t>
  </si>
  <si>
    <t>~/.codex/sessions/2026/04/21/rollout-2026-04-21T17-12-35-019daf50-1a09-7e92-bef7-f225450534e2.jsonl</t>
  </si>
  <si>
    <t>2026-04-21 17:14</t>
  </si>
  <si>
    <t>019daf52-29a2-7d02-bdbf-c4f87837aebb</t>
  </si>
  <si>
    <t>Review cart service quality</t>
  </si>
  <si>
    <t>~/.codex/sessions/2026/04/21/rollout-2026-04-21T17-14-50-019daf52-29a2-7d02-bdbf-c4f87837aebb.jsonl</t>
  </si>
  <si>
    <t>2026-04-21 17:15</t>
  </si>
  <si>
    <t>019daf53-1111-7802-b950-77c9ab9e7f6c</t>
  </si>
  <si>
    <t>Review cart stale-stock bug</t>
  </si>
  <si>
    <t>~/.codex/sessions/2026/04/21/rollout-2026-04-21T17-15-49-019daf53-1111-7802-b950-77c9ab9e7f6c.jsonl</t>
  </si>
  <si>
    <t>2026-04-21 17:16</t>
  </si>
  <si>
    <t>Implement cart row reconciliation</t>
  </si>
  <si>
    <t>~/.codex/sessions/2026/04/21/rollout-2026-04-21T17-16-39-019daf53-d476-7cc3-8fd8-be1e7a6145cd.jsonl</t>
  </si>
  <si>
    <t>2026-04-21 17:20</t>
  </si>
  <si>
    <t>019daf57-3b04-7d00-b105-04948c6be7ca</t>
  </si>
  <si>
    <t>检查购物车稳定重排与滑删是否符合规格</t>
  </si>
  <si>
    <t>~/.codex/sessions/2026/04/21/rollout-2026-04-21T17-20-22-019daf57-3b04-7d00-b105-04948c6be7ca.jsonl</t>
  </si>
  <si>
    <t>2026-04-21 17:22</t>
  </si>
  <si>
    <t>019daf59-8d52-79d1-9994-a008b3e53ebb</t>
  </si>
  <si>
    <t>Review cart reconciliation changes</t>
  </si>
  <si>
    <t>~/.codex/sessions/2026/04/21/rollout-2026-04-21T17-22-54-019daf59-8d52-79d1-9994-a008b3e53ebb.jsonl</t>
  </si>
  <si>
    <t>2026-04-21 17:25</t>
  </si>
  <si>
    <t>019daf5c-4170-7c53-bfb5-5e4198f3953c</t>
  </si>
  <si>
    <t>Rebuild cart page layout</t>
  </si>
  <si>
    <t>~/.codex/sessions/2026/04/21/rollout-2026-04-21T17-25-52-019daf5c-4170-7c53-bfb5-5e4198f3953c.jsonl</t>
  </si>
  <si>
    <t>2026-04-21 17:29</t>
  </si>
  <si>
    <t>019daf5f-582a-7df1-8ad9-1845e722b036</t>
  </si>
  <si>
    <t>Finish cart markup and styling</t>
  </si>
  <si>
    <t>~/.codex/sessions/2026/04/21/rollout-2026-04-21T17-29-14-019daf5f-582a-7df1-8ad9-1845e722b036.jsonl</t>
  </si>
  <si>
    <t>2026-04-21 18:15</t>
  </si>
  <si>
    <t>核查购物车重构实现اً/analysis to=multi_tool</t>
  </si>
  <si>
    <t>~/.codex/sessions/2026/04/21/rollout-2026-04-21T18-15-04-019daf89-4f7e-7db3-9bbf-4a0fc8ab7658.jsonl</t>
  </si>
  <si>
    <t>2026-04-21 18:17</t>
  </si>
  <si>
    <t>019daf8b-2c92-7910-847b-fe5d3af71dc9</t>
  </si>
  <si>
    <t>Re-check Task 3 compliance</t>
  </si>
  <si>
    <t>~/.codex/sessions/2026/04/21/rollout-2026-04-21T18-17-06-019daf8b-2c92-7910-847b-fe5d3af71dc9.jsonl</t>
  </si>
  <si>
    <t>2026-04-21 18:18</t>
  </si>
  <si>
    <t>019daf8c-593b-7190-8a78-a2ed1811a4e5</t>
  </si>
  <si>
    <t>Recheck Task 3 compliance</t>
  </si>
  <si>
    <t>~/.codex/sessions/2026/04/21/rollout-2026-04-21T18-18-23-019daf8c-593b-7190-8a78-a2ed1811a4e5.jsonl</t>
  </si>
  <si>
    <t>019daf8c-c0cc-7451-ad4f-79ebe4adcc84</t>
  </si>
  <si>
    <t>Review cart page changes</t>
  </si>
  <si>
    <t>~/.codex/sessions/2026/04/21/rollout-2026-04-21T18-18-50-019daf8c-c0cc-7451-ad4f-79ebe4adcc84.jsonl</t>
  </si>
  <si>
    <t>019daf8e-38ad-7c73-9baa-b6a014e8ed21</t>
  </si>
  <si>
    <t>Review Task 3 code quality</t>
  </si>
  <si>
    <t>~/.codex/sessions/2026/04/21/rollout-2026-04-21T18-20-26-019daf8e-38ad-7c73-9baa-b6a014e8ed21.jsonl</t>
  </si>
  <si>
    <t>完善商户端小票打印方案</t>
  </si>
  <si>
    <t>~/.codex/sessions/2026/05/05/rollout-2026-05-05T09-58-11-019df5db-6eef-7573-9312-58c4965d872f.jsonl</t>
  </si>
  <si>
    <t>019df5dc-5317-7d93-98de-2c6f4b4b0719</t>
  </si>
  <si>
    <t>~/.codex/sessions/2026/05/05/rollout-2026-05-05T09-59-10-019df5dc-5317-7d93-98de-2c6f4b4b0719.jsonl</t>
  </si>
  <si>
    <t>优化余额流水页面</t>
  </si>
  <si>
    <t>~/.codex/sessions/2026/05/08/rollout-2026-05-08T19-55-34-019e0771-6e1a-7b20-9964-6bc9cd58891b.jsonl</t>
  </si>
  <si>
    <t>排查商户端身份验证</t>
  </si>
  <si>
    <t>~/.codex/sessions/2026/05/10/rollout-2026-05-10T16-12-24-019e10f1-d43b-7c41-8061-85ab35a84b92.jsonl</t>
  </si>
  <si>
    <t>2026-05-10 16:20</t>
  </si>
  <si>
    <t>Fix merchant gate sync failure</t>
  </si>
  <si>
    <t>~/.codex/sessions/2026/05/10/rollout-2026-05-10T16-20-42-019e10f9-6f16-7cc3-8fa3-0584e6f521f7.jsonl</t>
  </si>
  <si>
    <t>2026-05-10 16:48</t>
  </si>
  <si>
    <t>019e1113-28a5-7241-b6ac-08e8b87e80d5</t>
  </si>
  <si>
    <t>Fix merchant CloudBase env error</t>
  </si>
  <si>
    <t>~/.codex/sessions/2026/05/10/rollout-2026-05-10T16-48-48-019e1113-28a5-7241-b6ac-08e8b87e80d5.jsonl</t>
  </si>
  <si>
    <t>2026-05-10 18:27</t>
  </si>
  <si>
    <t>019e116d-3ec3-7902-8d74-83d4f2635482</t>
  </si>
  <si>
    <t>~/.codex/sessions/2026/05/10/rollout-2026-05-10T18-27-12-019e116d-3ec3-7902-8d74-83d4f2635482.jsonl</t>
  </si>
  <si>
    <t>2026-05-10 19:30</t>
  </si>
  <si>
    <t>019e11a7-8098-7142-9a34-4f2b307ce2b7</t>
  </si>
  <si>
    <t>修复云函数上传错误</t>
  </si>
  <si>
    <t>~/.codex/sessions/2026/05/10/rollout-2026-05-10T19-30-50-019e11a7-8098-7142-9a34-4f2b307ce2b7.jsonl</t>
  </si>
  <si>
    <t>2026-05-10 19:32</t>
  </si>
  <si>
    <t>修复云函数上传打包入口</t>
  </si>
  <si>
    <t>~/.codex/sessions/2026/05/10/rollout-2026-05-10T19-32-33-019e11a9-134b-7dd2-9d86-a733395b7c0c.jsonl</t>
  </si>
  <si>
    <t>019e11b4-e03e-7623-af7a-ad9b6c9b8c7f</t>
  </si>
  <si>
    <t>~/.codex/sessions/2026/05/10/rollout-2026-05-10T19-45-27-019e11b4-e03e-7623-af7a-ad9b6c9b8c7f.jsonl</t>
  </si>
  <si>
    <t>规划后端迁移方案</t>
  </si>
  <si>
    <t>~/.codex/sessions/2026/05/11/rollout-2026-05-11T12-55-32-019e1563-f539-7ab3-8b93-b4de77905936.jsonl</t>
  </si>
  <si>
    <t>2026-05-11 14:05</t>
  </si>
  <si>
    <t>019e15a4-1f95-72a1-ba31-410dc44d10c3</t>
  </si>
  <si>
    <t>~/.codex/sessions/2026/05/11/rollout-2026-05-11T14-05-38-019e15a4-1f95-72a1-ba31-410dc44d10c3.jsonl</t>
  </si>
  <si>
    <t>Run gsd-next</t>
  </si>
  <si>
    <t>~/.codex/sessions/2026/05/12/rollout-2026-05-12T09-00-00-019e19b2-ab6c-76b2-8513-ee6665475609.jsonl</t>
  </si>
  <si>
    <t>2026-05-12 14:41</t>
  </si>
  <si>
    <t>019e1aeb-228d-7770-aeef-87b2a35a9b34</t>
  </si>
  <si>
    <t>~/.codex/sessions/2026/05/12/rollout-2026-05-12T14-41-17-019e1aeb-228d-7770-aeef-87b2a35a9b34.jsonl</t>
  </si>
  <si>
    <t>Execute plan 12-01</t>
  </si>
  <si>
    <t>~/.codex/sessions/2026/05/12/rollout-2026-05-12T15-28-39-019e1b16-7d8a-7213-a3f4-d54b4b617f02.jsonl</t>
  </si>
  <si>
    <t>Execute plan 12-02</t>
  </si>
  <si>
    <t>~/.codex/sessions/2026/05/12/rollout-2026-05-12T15-28-57-019e1b16-c30c-7201-8989-38ee80a790bd.jsonl</t>
  </si>
  <si>
    <t>2026-05-12 15:56</t>
  </si>
  <si>
    <t>Execute plan 12-03</t>
  </si>
  <si>
    <t>~/.codex/sessions/2026/05/12/rollout-2026-05-12T15-56-03-019e1b2f-93c5-7ec2-b480-92b72d87d73f.jsonl</t>
  </si>
  <si>
    <t>019e1b2f-f452-7322-b03b-8c2fdd6f558c</t>
  </si>
  <si>
    <t>Execute plan 12-04</t>
  </si>
  <si>
    <t>~/.codex/sessions/2026/05/12/rollout-2026-05-12T15-56-28-019e1b2f-f452-7322-b03b-8c2fdd6f558c.jsonl</t>
  </si>
  <si>
    <t>Execute 12-05 plan</t>
  </si>
  <si>
    <t>~/.codex/sessions/2026/05/12/rollout-2026-05-12T16-12-29-019e1b3e-9e9c-76a0-8b5f-273197993d5f.jsonl</t>
  </si>
  <si>
    <t>019e1b4e-cf1c-77a0-971c-0727b886715e</t>
  </si>
  <si>
    <t>Review Phase 12 files</t>
  </si>
  <si>
    <t>~/.codex/sessions/2026/05/12/rollout-2026-05-12T16-30-10-019e1b4e-cf1c-77a0-971c-0727b886715e.jsonl</t>
  </si>
  <si>
    <t>2026-05-12 16:51</t>
  </si>
  <si>
    <t>019e1b62-3a1a-7ae1-92d4-39dc22babc9d</t>
  </si>
  <si>
    <t>Update Phase 12 security review</t>
  </si>
  <si>
    <t>~/.codex/sessions/2026/05/12/rollout-2026-05-12T16-51-22-019e1b62-3a1a-7ae1-92d4-39dc22babc9d.jsonl</t>
  </si>
  <si>
    <t>019e1b6a-da2d-7593-a5fb-3ed90b26e199</t>
  </si>
  <si>
    <t>Re-review phase 12</t>
  </si>
  <si>
    <t>~/.codex/sessions/2026/05/12/rollout-2026-05-12T17-00-48-019e1b6a-da2d-7593-a5fb-3ed90b26e199.jsonl</t>
  </si>
  <si>
    <t>Verify phase 12 goal</t>
  </si>
  <si>
    <t>~/.codex/sessions/2026/05/12/rollout-2026-05-12T17-08-19-019e1b71-bf12-7502-bbcf-2c4932ea74f1.jsonl</t>
  </si>
  <si>
    <t>修复登录报错</t>
  </si>
  <si>
    <t>~/.codex/sessions/2026/05/13/rollout-2026-05-13T09-26-45-019e1ef1-86df-7b32-9562-e1ea288b0e52.jsonl</t>
  </si>
  <si>
    <t>2026-05-13 10:15</t>
  </si>
  <si>
    <t>019e1f1d-ecd6-78d3-aede-2f7150372029</t>
  </si>
  <si>
    <t>Fix API Docker module resolution</t>
  </si>
  <si>
    <t>~/.codex/sessions/2026/05/13/rollout-2026-05-13T10-15-15-019e1f1d-ecd6-78d3-aede-2f7150372029.jsonl</t>
  </si>
  <si>
    <t>2026-05-13 10:56</t>
  </si>
  <si>
    <t>配置小程序登录</t>
  </si>
  <si>
    <t>~/.codex/sessions/2026/05/13/rollout-2026-05-13T10-56-27-019e1f43-a733-7443-97b6-690e40c1577a.jsonl</t>
  </si>
  <si>
    <t>2026-05-13 11:00</t>
  </si>
  <si>
    <t>019e1f47-9664-7611-a8b7-21f55af34518</t>
  </si>
  <si>
    <t>检查双端登录改动</t>
  </si>
  <si>
    <t>~/.codex/sessions/2026/05/13/rollout-2026-05-13T11-00-45-019e1f47-9664-7611-a8b7-21f55af34518.jsonl</t>
  </si>
  <si>
    <t>2026-05-13 11:10</t>
  </si>
  <si>
    <t>019e1f50-e6bd-7091-8209-2aa3ac518519</t>
  </si>
  <si>
    <t>~/.codex/sessions/2026/05/13/rollout-2026-05-13T11-10-56-019e1f50-e6bd-7091-8209-2aa3ac518519.jsonl</t>
  </si>
  <si>
    <t>2026-05-13 11:23</t>
  </si>
  <si>
    <t>019e1f5c-95bf-7bb2-8ae5-da8423638f00</t>
  </si>
  <si>
    <t>Review API Docker runtime files</t>
  </si>
  <si>
    <t>~/.codex/sessions/2026/05/13/rollout-2026-05-13T11-23-41-019e1f5c-95bf-7bb2-8ae5-da8423638f00.jsonl</t>
  </si>
  <si>
    <t>2026-05-13 13:06</t>
  </si>
  <si>
    <t>019e1fba-5f9b-7661-b468-bfcceeb31a50</t>
  </si>
  <si>
    <t>Audit empty JSON body requests</t>
  </si>
  <si>
    <t>~/.codex/sessions/2026/05/13/rollout-2026-05-13T13-06-08-019e1fba-5f9b-7661-b468-bfcceeb31a50.jsonl</t>
  </si>
  <si>
    <t>2026-05-13 13:58</t>
  </si>
  <si>
    <t>改为商户端账号密码登录</t>
  </si>
  <si>
    <t>~/.codex/sessions/2026/05/13/rollout-2026-05-13T13-58-33-019e1fea-5cbf-7111-9054-81f13b7f4eff.jsonl</t>
  </si>
  <si>
    <t>2026-05-13 14:14</t>
  </si>
  <si>
    <t>019e1ff9-1e8d-71b3-a215-8d2894bee05a</t>
  </si>
  <si>
    <t>~/.codex/sessions/2026/05/13/rollout-2026-05-13T14-14-40-019e1ff9-1e8d-71b3-a215-8d2894bee05a.jsonl</t>
  </si>
  <si>
    <t>查明卡片跳转未实现</t>
  </si>
  <si>
    <t>~/.codex/sessions/2026/05/13/rollout-2026-05-13T15-52-34-019e2052-bf35-7313-a496-628d8f60da3b.jsonl</t>
  </si>
  <si>
    <t>2026-05-13 16:04</t>
  </si>
  <si>
    <t>019e205d-c5b5-7682-8601-30f4003186a9</t>
  </si>
  <si>
    <t>~/.codex/sessions/2026/05/13/rollout-2026-05-13T16-04-36-019e205d-c5b5-7682-8601-30f4003186a9.jsonl</t>
  </si>
  <si>
    <t>2026-05-13 16:37</t>
  </si>
  <si>
    <t>019e207b-f16b-72a0-b333-f217e9f8226f</t>
  </si>
  <si>
    <t>调整商户登录文案</t>
  </si>
  <si>
    <t>~/.codex/sessions/2026/05/13/rollout-2026-05-13T16-37-34-019e207b-f16b-72a0-b333-f217e9f8226f.jsonl</t>
  </si>
  <si>
    <t>2026-05-13 16:41</t>
  </si>
  <si>
    <t>019e207f-205b-71e2-aa92-a01f17a1a67b</t>
  </si>
  <si>
    <t>Review Task 1 compliance</t>
  </si>
  <si>
    <t>~/.codex/sessions/2026/05/13/rollout-2026-05-13T16-41-02-019e207f-205b-71e2-aa92-a01f17a1a67b.jsonl</t>
  </si>
  <si>
    <t>2026-05-13 16:43</t>
  </si>
  <si>
    <t>019e2081-34dc-71d1-a8f0-334991e6bcf9</t>
  </si>
  <si>
    <t>Review Task 1 changes</t>
  </si>
  <si>
    <t>~/.codex/sessions/2026/05/13/rollout-2026-05-13T16-43-19-019e2081-34dc-71d1-a8f0-334991e6bcf9.jsonl</t>
  </si>
  <si>
    <t>2026-05-13 16:45</t>
  </si>
  <si>
    <t>019e2083-2e0c-79e3-9358-78f79698f7a6</t>
  </si>
  <si>
    <t>Refactor merchant access gate</t>
  </si>
  <si>
    <t>~/.codex/sessions/2026/05/13/rollout-2026-05-13T16-45-28-019e2083-2e0c-79e3-9358-78f79698f7a6.jsonl</t>
  </si>
  <si>
    <t>2026-05-13 16:48</t>
  </si>
  <si>
    <t>019e2086-4860-77d1-881e-0bfb267b78d4</t>
  </si>
  <si>
    <t>Review Task 2 compliance</t>
  </si>
  <si>
    <t>~/.codex/sessions/2026/05/13/rollout-2026-05-13T16-48-51-019e2086-4860-77d1-881e-0bfb267b78d4.jsonl</t>
  </si>
  <si>
    <t>2026-05-13 16:52</t>
  </si>
  <si>
    <t>019e2089-ee11-7a82-b4a5-1e0190dc7709</t>
  </si>
  <si>
    <t>Re-review Task 2 spec compliance</t>
  </si>
  <si>
    <t>~/.codex/sessions/2026/05/13/rollout-2026-05-13T16-52-50-019e2089-ee11-7a82-b4a5-1e0190dc7709.jsonl</t>
  </si>
  <si>
    <t>2026-05-13 16:55</t>
  </si>
  <si>
    <t>019e208c-11ca-7eb0-a8f4-c1335359fbb5</t>
  </si>
  <si>
    <t>Review Task 2 changes</t>
  </si>
  <si>
    <t>~/.codex/sessions/2026/05/13/rollout-2026-05-13T16-55-11-019e208c-11ca-7eb0-a8f4-c1335359fbb5.jsonl</t>
  </si>
  <si>
    <t>2026-05-13 17:00</t>
  </si>
  <si>
    <t>019e2091-39dc-7833-a931-89ba750f2b51</t>
  </si>
  <si>
    <t>Re-review access gate quality</t>
  </si>
  <si>
    <t>~/.codex/sessions/2026/05/13/rollout-2026-05-13T17-00-48-019e2091-39dc-7833-a931-89ba750f2b51.jsonl</t>
  </si>
  <si>
    <t>2026-05-13 19:04</t>
  </si>
  <si>
    <t>019e2102-0dff-7f61-821d-41d4f7e18ab7</t>
  </si>
  <si>
    <t>Review access-gate after d028880</t>
  </si>
  <si>
    <t>~/.codex/sessions/2026/05/13/rollout-2026-05-13T19-04-03-019e2102-0dff-7f61-821d-41d4f7e18ab7.jsonl</t>
  </si>
  <si>
    <t>019e2102-c327-7d71-85b1-5f33b75d1ffe</t>
  </si>
  <si>
    <t>Apply warm merchant login styles</t>
  </si>
  <si>
    <t>~/.codex/sessions/2026/05/13/rollout-2026-05-13T19-04-49-019e2102-c327-7d71-85b1-5f33b75d1ffe.jsonl</t>
  </si>
  <si>
    <t>2026-05-13 19:06</t>
  </si>
  <si>
    <t>019e2103-d72a-7bd1-a423-11bf5b36d0d5</t>
  </si>
  <si>
    <t>Review Task 3 spec compliance</t>
  </si>
  <si>
    <t>~/.codex/sessions/2026/05/13/rollout-2026-05-13T19-06-00-019e2103-d72a-7bd1-a423-11bf5b36d0d5.jsonl</t>
  </si>
  <si>
    <t>019e2104-8dc7-7bd2-8f14-8cd5a22dcf8c</t>
  </si>
  <si>
    <t>Review access gate WXSS/WXML</t>
  </si>
  <si>
    <t>~/.codex/sessions/2026/05/13/rollout-2026-05-13T19-06-47-019e2104-8dc7-7bd2-8f14-8cd5a22dcf8c.jsonl</t>
  </si>
  <si>
    <t>2026-05-13 19:08</t>
  </si>
  <si>
    <t>019e2105-fd8e-77b0-83a5-01d6f042f1b6</t>
  </si>
  <si>
    <t>Re-review Task 3 fixes</t>
  </si>
  <si>
    <t>~/.codex/sessions/2026/05/13/rollout-2026-05-13T19-08-21-019e2105-fd8e-77b0-83a5-01d6f042f1b6.jsonl</t>
  </si>
  <si>
    <t>Verify merchant login runtime</t>
  </si>
  <si>
    <t>~/.codex/sessions/2026/05/13/rollout-2026-05-13T19-08-52-019e2106-7935-7ac1-a20e-350c5df42f53.jsonl</t>
  </si>
  <si>
    <t>2026-05-13 19:10</t>
  </si>
  <si>
    <t>019e2107-e50c-7030-80a4-b130c638afc9</t>
  </si>
  <si>
    <t>Review merchant login warm UI</t>
  </si>
  <si>
    <t>~/.codex/sessions/2026/05/13/rollout-2026-05-13T19-10-26-019e2107-e50c-7030-80a4-b130c638afc9.jsonl</t>
  </si>
  <si>
    <t>019e210a-41fa-7273-8961-5777edbf5b7d</t>
  </si>
  <si>
    <t>Re-review access gate fix</t>
  </si>
  <si>
    <t>~/.codex/sessions/2026/05/13/rollout-2026-05-13T19-13-00-019e210a-41fa-7273-8961-5777edbf5b7d.jsonl</t>
  </si>
  <si>
    <t>2026-05-16 10:10</t>
  </si>
  <si>
    <t>实现用户端品类展示</t>
  </si>
  <si>
    <t>~/.codex/sessions/2026/05/16/rollout-2026-05-16T10-10-32-019e2e8c-b12a-7031-b1b2-d6b64f317f58.jsonl</t>
  </si>
  <si>
    <t>2026-05-16 10:12</t>
  </si>
  <si>
    <t>修复用户端品类栏配置</t>
  </si>
  <si>
    <t>~/.codex/sessions/2026/05/16/rollout-2026-05-16T10-12-08-019e2e8e-274c-7b20-b63b-0898eb76f6cc.jsonl</t>
  </si>
  <si>
    <t>2026-05-22 09:33</t>
  </si>
  <si>
    <t>019e4d50-915b-7a12-87f3-1c031ea73e5a</t>
  </si>
  <si>
    <t>~/.codex/sessions/2026/05/22/rollout-2026-05-22T09-33-06-019e4d50-915b-7a12-87f3-1c031ea73e5a.jsonl</t>
  </si>
  <si>
    <t>评估新建并同步快递地址</t>
  </si>
  <si>
    <t>~/.codex/sessions/2026/06/01/rollout-2026-06-01T09-44-33-019e80da-a41c-7792-97da-8a648a564fc6.jsonl</t>
  </si>
  <si>
    <t>2026-06-01 10:00</t>
  </si>
  <si>
    <t>019e80e9-013c-73d0-ae55-0d857986ffa3</t>
  </si>
  <si>
    <t>~/.codex/sessions/2026/06/01/rollout-2026-06-01T10-00-14-019e80e9-013c-73d0-ae55-0d857986ffa3.jsonl</t>
  </si>
  <si>
    <t>2026-06-01 13:34</t>
  </si>
  <si>
    <t>019e81ac-d864-76c0-973f-fce1f93c81c1</t>
  </si>
  <si>
    <t>~/.codex/sessions/2026/06/01/rollout-2026-06-01T13-34-09-019e81ac-d864-76c0-973f-fce1f93c81c1.jsonl</t>
  </si>
  <si>
    <t>修复再次选址进入自建页</t>
  </si>
  <si>
    <t>~/.codex/sessions/2026/06/02/rollout-2026-06-02T11-20-06-019e8658-7bf9-7691-9e7f-49619d98215f.jsonl</t>
  </si>
  <si>
    <t>优化商品列表加载性能</t>
  </si>
  <si>
    <t>~/.codex/sessions/2026/06/02/rollout-2026-06-02T14-50-33-019e8719-27d5-75e3-be5f-988240a72d4c.jsonl</t>
  </si>
  <si>
    <t>2026-06-02 15:58</t>
  </si>
  <si>
    <t>019e8757-2c08-7052-8f65-7b4e695abf3c</t>
  </si>
  <si>
    <t>~/.codex/sessions/2026/06/02/rollout-2026-06-02T15-58-17-019e8757-2c08-7052-8f65-7b4e695abf3c.jsonl</t>
  </si>
  <si>
    <t>019e8757-b9db-7e30-9bbd-955e3b54a68c</t>
  </si>
  <si>
    <t>Add catalog summary contracts</t>
  </si>
  <si>
    <t>~/.codex/sessions/2026/06/02/rollout-2026-06-02T15-58-53-019e8757-b9db-7e30-9bbd-955e3b54a68c.jsonl</t>
  </si>
  <si>
    <t>2026-06-02 16:09</t>
  </si>
  <si>
    <t>019e8761-c4fc-7b62-a3b5-337dcf650912</t>
  </si>
  <si>
    <t>Review catalog loading compliance</t>
  </si>
  <si>
    <t>~/.codex/sessions/2026/06/02/rollout-2026-06-02T16-09-52-019e8761-c4fc-7b62-a3b5-337dcf650912.jsonl</t>
  </si>
  <si>
    <t>2026-06-02 16:11</t>
  </si>
  <si>
    <t>019e8762-ef36-7d10-88b8-df3c95cc5fef</t>
  </si>
  <si>
    <t>Review catalog service contract</t>
  </si>
  <si>
    <t>~/.codex/sessions/2026/06/02/rollout-2026-06-02T16-11-08-019e8762-ef36-7d10-88b8-df3c95cc5fef.jsonl</t>
  </si>
  <si>
    <t>2026-06-02 16:16</t>
  </si>
  <si>
    <t>019e8768-4605-7001-953b-d05b30d84eba</t>
  </si>
  <si>
    <t>Review catalog fixes</t>
  </si>
  <si>
    <t>~/.codex/sessions/2026/06/02/rollout-2026-06-02T16-16-58-019e8768-4605-7001-953b-d05b30d84eba.jsonl</t>
  </si>
  <si>
    <t>2026-06-02 16:21</t>
  </si>
  <si>
    <t>019e876c-3bbf-77a1-83eb-98fd5c88665d</t>
  </si>
  <si>
    <t>Re-run code quality review</t>
  </si>
  <si>
    <t>~/.codex/sessions/2026/06/02/rollout-2026-06-02T16-21-17-019e876c-3bbf-77a1-83eb-98fd5c88665d.jsonl</t>
  </si>
  <si>
    <t>2026-06-02 16:23</t>
  </si>
  <si>
    <t>Add catalog paging backend</t>
  </si>
  <si>
    <t>~/.codex/sessions/2026/06/02/rollout-2026-06-02T16-23-04-019e876d-da64-7300-b684-7ddb2b6a231b.jsonl</t>
  </si>
  <si>
    <t>2026-06-02 16:29</t>
  </si>
  <si>
    <t>019e8774-2382-7881-9c68-d390991fba4e</t>
  </si>
  <si>
    <t>~/.codex/sessions/2026/06/02/rollout-2026-06-02T16-29-56-019e8774-2382-7881-9c68-d390991fba4e.jsonl</t>
  </si>
  <si>
    <t>2026-06-02 16:37</t>
  </si>
  <si>
    <t>019e877b-14ac-7ab2-b1e9-3e28689b3c0f</t>
  </si>
  <si>
    <t>Re-run spec compliance review</t>
  </si>
  <si>
    <t>~/.codex/sessions/2026/06/02/rollout-2026-06-02T16-37-30-019e877b-14ac-7ab2-b1e9-3e28689b3c0f.jsonl</t>
  </si>
  <si>
    <t>2026-06-02 16:44</t>
  </si>
  <si>
    <t>019e8781-60bd-77e3-999e-82f8c7c46b49</t>
  </si>
  <si>
    <t>Re-run SPEC compliance review</t>
  </si>
  <si>
    <t>~/.codex/sessions/2026/06/02/rollout-2026-06-02T16-44-23-019e8781-60bd-77e3-999e-82f8c7c46b49.jsonl</t>
  </si>
  <si>
    <t>2026-06-02 16:48</t>
  </si>
  <si>
    <t>019e8785-4f2b-7881-a320-6c18088ba6ef</t>
  </si>
  <si>
    <t>~/.codex/sessions/2026/06/02/rollout-2026-06-02T16-48-41-019e8785-4f2b-7881-a320-6c18088ba6ef.jsonl</t>
  </si>
  <si>
    <t>2026-06-02 16:50</t>
  </si>
  <si>
    <t>019e8787-3edb-78a1-9e72-c54e88046a53</t>
  </si>
  <si>
    <t>Review catalog pagination changes</t>
  </si>
  <si>
    <t>~/.codex/sessions/2026/06/02/rollout-2026-06-02T16-50-48-019e8787-3edb-78a1-9e72-c54e88046a53.jsonl</t>
  </si>
  <si>
    <t>2026-06-02 16:59</t>
  </si>
  <si>
    <t>~/.codex/sessions/2026/06/02/rollout-2026-06-02T16-59-30-019e878f-3830-72e2-8bac-f8787a2ef001.jsonl</t>
  </si>
  <si>
    <t>2026-06-02 17:30</t>
  </si>
  <si>
    <t>019e87ab-7705-7710-8db6-6d79e9abb53f</t>
  </si>
  <si>
    <t>Update catalog service stores</t>
  </si>
  <si>
    <t>~/.codex/sessions/2026/06/02/rollout-2026-06-02T17-30-21-019e87ab-7705-7710-8db6-6d79e9abb53f.jsonl</t>
  </si>
  <si>
    <t>2026-06-02 17:37</t>
  </si>
  <si>
    <t>019e87b2-453f-78f0-9c2a-59b397cbbc57</t>
  </si>
  <si>
    <t>Review catalog loading spec</t>
  </si>
  <si>
    <t>~/.codex/sessions/2026/06/02/rollout-2026-06-02T17-37-47-019e87b2-453f-78f0-9c2a-59b397cbbc57.jsonl</t>
  </si>
  <si>
    <t>019e87b3-bb1c-79a0-8f0f-3f0c7f8020c1</t>
  </si>
  <si>
    <t>Review catalog cache and detail flow</t>
  </si>
  <si>
    <t>~/.codex/sessions/2026/06/02/rollout-2026-06-02T17-39-23-019e87b3-bb1c-79a0-8f0f-3f0c7f8020c1.jsonl</t>
  </si>
  <si>
    <t>2026-06-02 17:42</t>
  </si>
  <si>
    <t>019e87b6-32e0-7f72-a803-99b2b21293a7</t>
  </si>
  <si>
    <t>~/.codex/sessions/2026/06/02/rollout-2026-06-02T17-42-05-019e87b6-32e0-7f72-a803-99b2b21293a7.jsonl</t>
  </si>
  <si>
    <t>排查商户端商品删除500</t>
  </si>
  <si>
    <t>~/.codex/sessions/2026/06/09/rollout-2026-06-09T13-48-03-019eaaec-7313-7322-b3c6-eaf6ce7cbd15.jsonl</t>
  </si>
  <si>
    <t>2026-06-09 16:58</t>
  </si>
  <si>
    <t>排查品类商品数量不一致</t>
  </si>
  <si>
    <t>~/.codex/sessions/2026/06/09/rollout-2026-06-09T16-58-26-019eab9a-c2a3-79f2-b265-083b64491662.jsonl</t>
  </si>
  <si>
    <t>2026-06-10 09:13</t>
  </si>
  <si>
    <t>019eaf17-42d1-7760-a807-ddbc37e50146</t>
  </si>
  <si>
    <t>生成开发工时费用表</t>
  </si>
  <si>
    <t>否-费用表生成会话</t>
  </si>
  <si>
    <t>~/.codex/sessions/2026/06/10/rollout-2026-06-10T09-13-17-019eaf17-42d1-7760-a807-ddbc37e50146.jsonl</t>
  </si>
  <si>
    <t>阶段摘要</t>
  </si>
  <si>
    <t>阶段</t>
  </si>
  <si>
    <t>英文标题</t>
  </si>
  <si>
    <t>纳入费用的主要内容</t>
  </si>
  <si>
    <t>规划摘要目录</t>
  </si>
  <si>
    <t>Phase 3</t>
  </si>
  <si>
    <t>Cart State and Product Selection</t>
  </si>
  <si>
    <t>购物车、规格选择、快速加购、购物车页与结算入口</t>
  </si>
  <si>
    <t>.planning/phases/03-cart-state-and-product-selection</t>
  </si>
  <si>
    <t>Phase 4</t>
  </si>
  <si>
    <t>Account, Pets and Address Context</t>
  </si>
  <si>
    <t>个人中心、地址、宠物、余额流水和订单前上下文</t>
  </si>
  <si>
    <t>.planning/phases/04-account-pets-and-address-context</t>
  </si>
  <si>
    <t>Phase 5</t>
  </si>
  <si>
    <t>Checkout, Payment and Orders</t>
  </si>
  <si>
    <t>确认订单、配送费、支付、订单列表/详情、订单持久化</t>
  </si>
  <si>
    <t>.planning/phases/05-checkout-payment-and-orders</t>
  </si>
  <si>
    <t>Phase 6</t>
  </si>
  <si>
    <t>Merchant Operations and Runtime Config</t>
  </si>
  <si>
    <t>商户订单、品类商品、用户余额、运营配置、工作台、小票打印</t>
  </si>
  <si>
    <t>.planning/phases/06-merchant-operations-and-runtime-config</t>
  </si>
  <si>
    <t>Phase 7</t>
  </si>
  <si>
    <t>Node API Foundation and ECS Deployment Runway</t>
  </si>
  <si>
    <t>统一 Node API、配置、日志、Docker、ECS 部署基座</t>
  </si>
  <si>
    <t>.planning/phases/07-node-api-foundation-and-ecs-deployment-runway</t>
  </si>
  <si>
    <t>Phase 8</t>
  </si>
  <si>
    <t>MySQL Data Model and Migration Pipeline</t>
  </si>
  <si>
    <t>Prisma/MySQL/RDS、seed、repository、事务和 CloudBase 导入验证</t>
  </si>
  <si>
    <t>.planning/phases/08-mysql-data-model-and-migration-pipeline</t>
  </si>
  <si>
    <t>Phase 9</t>
  </si>
  <si>
    <t>HTTP API Parity for Unified Backend</t>
  </si>
  <si>
    <t>用户/商户/订单/支付/商品/配置/打印 HTTP API 等价实现</t>
  </si>
  <si>
    <t>.planning/phases/09-http-api-parity-for-unified-backend</t>
  </si>
  <si>
    <t>Phase 10</t>
  </si>
  <si>
    <t>Mini Program API Client Migration</t>
  </si>
  <si>
    <t>客户/商户小程序服务从 CloudBase 迁移到统一 HTTP API client</t>
  </si>
  <si>
    <t>.planning/phases/10-mini-program-api-client-migration</t>
  </si>
  <si>
    <t>Phase 11</t>
  </si>
  <si>
    <t>OSS Asset Migration and Upload Flow</t>
  </si>
  <si>
    <t>OSS 上传、图片迁移、商品/Banner 资产读取与兼容</t>
  </si>
  <si>
    <t>.planning/phases/11-oss-asset-migration-and-upload-flow</t>
  </si>
  <si>
    <t>Phase 12</t>
  </si>
  <si>
    <t>Production Cutover Security and Regression Verification</t>
  </si>
  <si>
    <t>生产域名、部署、安全、冒烟、回归、回滚与 CloudBase 退役闸门</t>
  </si>
  <si>
    <t>.planning/phases/12-production-cutover-security-and-regression-verification</t>
  </si>
  <si>
    <t>统计口径：从需求开始开发到6.10准上线状态</t>
    <phoneticPr fontId="5" type="noConversion"/>
  </si>
  <si>
    <t>按照正常工价为150元/小时，给朋友做项目按照65元/小时前端 75元/小时后端，所有工作内容能落档的会被统计。目前只按照65元前端价格进行统计。</t>
    <phoneticPr fontId="5" type="noConversion"/>
  </si>
  <si>
    <r>
      <rPr>
        <i/>
        <sz val="11"/>
        <color rgb="FF37534C"/>
        <rFont val="Helvetica Oblique"/>
      </rPr>
      <t>从起始</t>
    </r>
    <r>
      <rPr>
        <i/>
        <sz val="11"/>
        <color rgb="FF37534C"/>
        <rFont val="Cambria"/>
        <family val="1"/>
      </rPr>
      <t xml:space="preserve"> session </t>
    </r>
    <r>
      <rPr>
        <i/>
        <sz val="11"/>
        <color rgb="FF37534C"/>
        <rFont val="Helvetica Oblique"/>
      </rPr>
      <t>开始筛选</t>
    </r>
    <r>
      <rPr>
        <i/>
        <sz val="11"/>
        <color rgb="FF37534C"/>
        <rFont val="Cambria"/>
        <family val="1"/>
      </rPr>
      <t xml:space="preserve">  工作可以落档有迹可循的工作记录。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</si>
</sst>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\¥#,##0"/>
    <numFmt numFmtId="177" formatCode="0.0"/>
    <numFmt numFmtId="178" formatCode="0.0%"/>
  </numFmts>
  <fonts count="9">
    <font>
      <sz val="11"/>
      <name val="Carlito"/>
    </font>
    <font>
      <b/>
      <sz val="15"/>
      <color rgb="FFFFFFFF"/>
      <name val="Carlito"/>
    </font>
    <font>
      <i/>
      <sz val="11"/>
      <color rgb="FF37534C"/>
      <name val="Carlito"/>
    </font>
    <font>
      <b/>
      <sz val="11"/>
      <color rgb="FF173B34"/>
      <name val="Carlito"/>
    </font>
    <font>
      <sz val="11"/>
      <name val="Carlito"/>
    </font>
    <font>
      <sz val="9"/>
      <name val="宋体"/>
      <family val="3"/>
      <charset val="134"/>
    </font>
    <font>
      <i/>
      <sz val="11"/>
      <color rgb="FF37534C"/>
      <name val="Cambria"/>
      <family val="1"/>
    </font>
    <font>
      <i/>
      <sz val="11"/>
      <color rgb="FF37534C"/>
      <name val="Carlito"/>
      <family val="2"/>
    </font>
    <font>
      <i/>
      <sz val="11"/>
      <color rgb="FF37534C"/>
      <name val="Helvetica Obliqu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A6C7BE"/>
      </left>
      <right style="thin">
        <color rgb="FFA6C7BE"/>
      </right>
      <top style="thin">
        <color rgb="FFA6C7BE"/>
      </top>
      <bottom style="thin">
        <color rgb="FFA6C7BE"/>
      </bottom>
      <diagonal/>
    </border>
    <border>
      <left style="thin">
        <color rgb="FFD9E2E0"/>
      </left>
      <right style="thin">
        <color rgb="FFD9E2E0"/>
      </right>
      <top style="thin">
        <color rgb="FFD9E2E0"/>
      </top>
      <bottom style="thin">
        <color rgb="FFD9E2E0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1" fillId="0" borderId="0" xfId="1" applyFont="1" applyAlignment="1">
      <alignment horizontal="left" vertical="center"/>
    </xf>
    <xf numFmtId="0" fontId="3" fillId="0" borderId="1" xfId="1" applyFont="1" applyBorder="1"/>
    <xf numFmtId="0" fontId="3" fillId="0" borderId="1" xfId="1" applyFont="1" applyBorder="1" applyAlignment="1">
      <alignment horizontal="center" vertical="center" wrapText="1"/>
    </xf>
    <xf numFmtId="0" fontId="0" fillId="0" borderId="2" xfId="1" applyFont="1" applyBorder="1" applyAlignment="1">
      <alignment vertical="top" wrapText="1"/>
    </xf>
    <xf numFmtId="176" fontId="0" fillId="0" borderId="2" xfId="1" applyNumberFormat="1" applyFont="1" applyBorder="1" applyAlignment="1">
      <alignment vertical="top" wrapText="1"/>
    </xf>
    <xf numFmtId="177" fontId="0" fillId="0" borderId="2" xfId="1" applyNumberFormat="1" applyFont="1" applyBorder="1" applyAlignment="1">
      <alignment vertical="top" wrapText="1"/>
    </xf>
    <xf numFmtId="49" fontId="0" fillId="0" borderId="2" xfId="1" applyNumberFormat="1" applyFont="1" applyBorder="1" applyAlignment="1">
      <alignment vertical="top" wrapText="1"/>
    </xf>
    <xf numFmtId="0" fontId="0" fillId="0" borderId="1" xfId="1" applyFont="1" applyBorder="1"/>
    <xf numFmtId="176" fontId="0" fillId="0" borderId="1" xfId="1" applyNumberFormat="1" applyFont="1" applyBorder="1"/>
    <xf numFmtId="177" fontId="0" fillId="0" borderId="1" xfId="1" applyNumberFormat="1" applyFont="1" applyBorder="1"/>
    <xf numFmtId="0" fontId="3" fillId="0" borderId="2" xfId="1" applyFont="1" applyBorder="1" applyAlignment="1">
      <alignment vertical="top" wrapText="1"/>
    </xf>
    <xf numFmtId="178" fontId="0" fillId="0" borderId="2" xfId="1" applyNumberFormat="1" applyFont="1" applyBorder="1" applyAlignment="1">
      <alignment vertical="top" wrapText="1"/>
    </xf>
    <xf numFmtId="0" fontId="2" fillId="0" borderId="0" xfId="1" applyFont="1"/>
    <xf numFmtId="0" fontId="1" fillId="0" borderId="0" xfId="1" applyFont="1" applyAlignment="1">
      <alignment horizontal="left" vertical="center"/>
    </xf>
    <xf numFmtId="0" fontId="3" fillId="0" borderId="1" xfId="1" applyFont="1" applyBorder="1" applyAlignment="1">
      <alignment horizontal="center" vertical="center" wrapText="1"/>
    </xf>
    <xf numFmtId="0" fontId="0" fillId="0" borderId="2" xfId="1" applyFont="1" applyBorder="1" applyAlignment="1">
      <alignment vertical="top" wrapText="1"/>
    </xf>
    <xf numFmtId="0" fontId="7" fillId="0" borderId="0" xfId="1" applyFont="1"/>
    <xf numFmtId="0" fontId="8" fillId="0" borderId="0" xfId="1" applyFont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orkLogTable" displayName="WorkLogTable" ref="A4:H79">
  <tableColumns count="8">
    <tableColumn id="1" xr3:uid="{00000000-0010-0000-0000-000001000000}" name="开始时间"/>
    <tableColumn id="2" xr3:uid="{00000000-0010-0000-0000-000002000000}" name="结束时间"/>
    <tableColumn id="3" xr3:uid="{00000000-0010-0000-0000-000003000000}" name="工作内容"/>
    <tableColumn id="4" xr3:uid="{00000000-0010-0000-0000-000004000000}" name="工作类型"/>
    <tableColumn id="5" xr3:uid="{00000000-0010-0000-0000-000005000000}" name="来源会话ID"/>
    <tableColumn id="6" xr3:uid="{00000000-0010-0000-0000-000006000000}" name="工作包/阶段"/>
    <tableColumn id="7" xr3:uid="{00000000-0010-0000-0000-000007000000}" name="开发工时"/>
    <tableColumn id="8" xr3:uid="{00000000-0010-0000-0000-000008000000}" name="小计费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ssionSourceTable" displayName="SessionSourceTable" ref="A4:E131">
  <tableColumns count="5">
    <tableColumn id="1" xr3:uid="{00000000-0010-0000-0100-000001000000}" name="会话时间"/>
    <tableColumn id="2" xr3:uid="{00000000-0010-0000-0100-000002000000}" name="会话ID"/>
    <tableColumn id="3" xr3:uid="{00000000-0010-0000-0100-000003000000}" name="线程标题"/>
    <tableColumn id="4" xr3:uid="{00000000-0010-0000-0100-000004000000}" name="是否计费来源"/>
    <tableColumn id="5" xr3:uid="{00000000-0010-0000-0100-000005000000}" name="本地日志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haseSummaryTable" displayName="PhaseSummaryTable" ref="A3:D13">
  <tableColumns count="4">
    <tableColumn id="1" xr3:uid="{00000000-0010-0000-0200-000001000000}" name="阶段"/>
    <tableColumn id="2" xr3:uid="{00000000-0010-0000-0200-000002000000}" name="英文标题"/>
    <tableColumn id="3" xr3:uid="{00000000-0010-0000-0200-000003000000}" name="纳入费用的主要内容"/>
    <tableColumn id="4" xr3:uid="{00000000-0010-0000-0200-000004000000}" name="规划摘要目录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"/>
  <sheetViews>
    <sheetView showGridLines="0" tabSelected="1" zoomScale="110" workbookViewId="0">
      <selection activeCell="L5" sqref="L5"/>
    </sheetView>
  </sheetViews>
  <sheetFormatPr baseColWidth="10" defaultColWidth="8.83203125" defaultRowHeight="14"/>
  <cols>
    <col min="1" max="2" width="13.1640625" customWidth="1"/>
    <col min="3" max="3" width="57.83203125" customWidth="1"/>
    <col min="4" max="4" width="9.83203125" customWidth="1"/>
    <col min="5" max="5" width="28.83203125" hidden="1" customWidth="1"/>
    <col min="6" max="6" width="25.5" customWidth="1"/>
    <col min="7" max="7" width="9.1640625" customWidth="1"/>
    <col min="8" max="8" width="11.1640625" customWidth="1"/>
    <col min="9" max="9" width="2.1640625" customWidth="1"/>
    <col min="10" max="10" width="12.5" customWidth="1"/>
    <col min="11" max="11" width="16.6640625" customWidth="1"/>
  </cols>
  <sheetData>
    <row r="1" spans="1:11" ht="19.5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11" ht="19.5" customHeight="1">
      <c r="A2" s="18" t="s">
        <v>683</v>
      </c>
      <c r="B2" s="13" t="s">
        <v>1</v>
      </c>
      <c r="C2" s="13" t="s">
        <v>1</v>
      </c>
      <c r="D2" s="13" t="s">
        <v>1</v>
      </c>
      <c r="E2" s="13" t="s">
        <v>1</v>
      </c>
      <c r="F2" s="13" t="s">
        <v>1</v>
      </c>
      <c r="G2" s="13" t="s">
        <v>1</v>
      </c>
      <c r="H2" s="13" t="s">
        <v>1</v>
      </c>
      <c r="J2" s="14" t="s">
        <v>2</v>
      </c>
      <c r="K2" s="14" t="s">
        <v>2</v>
      </c>
    </row>
    <row r="3" spans="1:11" ht="19.5" customHeight="1">
      <c r="J3" s="2" t="s">
        <v>3</v>
      </c>
      <c r="K3" s="9">
        <v>65</v>
      </c>
    </row>
    <row r="4" spans="1:11" ht="19.5" customHeight="1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J4" s="2" t="s">
        <v>12</v>
      </c>
      <c r="K4" s="10">
        <f>SUM(G5:G79)</f>
        <v>832</v>
      </c>
    </row>
    <row r="5" spans="1:11" ht="46.5" customHeight="1">
      <c r="A5" s="7" t="s">
        <v>13</v>
      </c>
      <c r="B5" s="7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6">
        <v>3</v>
      </c>
      <c r="H5" s="5">
        <f t="shared" ref="H5:H36" si="0">G5*$K$3</f>
        <v>195</v>
      </c>
      <c r="J5" s="2" t="s">
        <v>19</v>
      </c>
      <c r="K5" s="9">
        <f>K3*K4</f>
        <v>54080</v>
      </c>
    </row>
    <row r="6" spans="1:11" ht="46.5" customHeight="1">
      <c r="A6" s="7" t="s">
        <v>13</v>
      </c>
      <c r="B6" s="7" t="s">
        <v>14</v>
      </c>
      <c r="C6" s="4" t="s">
        <v>20</v>
      </c>
      <c r="D6" s="4" t="s">
        <v>21</v>
      </c>
      <c r="E6" s="4" t="s">
        <v>17</v>
      </c>
      <c r="F6" s="4" t="s">
        <v>22</v>
      </c>
      <c r="G6" s="6">
        <v>6</v>
      </c>
      <c r="H6" s="5">
        <f t="shared" si="0"/>
        <v>390</v>
      </c>
      <c r="J6" s="2" t="s">
        <v>23</v>
      </c>
      <c r="K6" s="8">
        <v>127</v>
      </c>
    </row>
    <row r="7" spans="1:11" ht="46.5" customHeight="1">
      <c r="A7" s="7" t="s">
        <v>13</v>
      </c>
      <c r="B7" s="7" t="s">
        <v>14</v>
      </c>
      <c r="C7" s="4" t="s">
        <v>24</v>
      </c>
      <c r="D7" s="4" t="s">
        <v>25</v>
      </c>
      <c r="E7" s="4" t="s">
        <v>17</v>
      </c>
      <c r="F7" s="4" t="s">
        <v>22</v>
      </c>
      <c r="G7" s="6">
        <v>24</v>
      </c>
      <c r="H7" s="5">
        <f t="shared" si="0"/>
        <v>1560</v>
      </c>
      <c r="J7" s="2" t="s">
        <v>26</v>
      </c>
      <c r="K7" s="8">
        <v>75</v>
      </c>
    </row>
    <row r="8" spans="1:11" ht="46.5" customHeight="1">
      <c r="A8" s="7" t="s">
        <v>13</v>
      </c>
      <c r="B8" s="7" t="s">
        <v>14</v>
      </c>
      <c r="C8" s="4" t="s">
        <v>27</v>
      </c>
      <c r="D8" s="4" t="s">
        <v>28</v>
      </c>
      <c r="E8" s="4" t="s">
        <v>17</v>
      </c>
      <c r="F8" s="4" t="s">
        <v>22</v>
      </c>
      <c r="G8" s="6">
        <v>7</v>
      </c>
      <c r="H8" s="5">
        <f t="shared" si="0"/>
        <v>455</v>
      </c>
      <c r="J8" s="2" t="s">
        <v>29</v>
      </c>
      <c r="K8" s="8" t="s">
        <v>17</v>
      </c>
    </row>
    <row r="9" spans="1:11" ht="46.5" customHeight="1">
      <c r="A9" s="7" t="s">
        <v>13</v>
      </c>
      <c r="B9" s="7" t="s">
        <v>14</v>
      </c>
      <c r="C9" s="4" t="s">
        <v>30</v>
      </c>
      <c r="D9" s="4" t="s">
        <v>21</v>
      </c>
      <c r="E9" s="4" t="s">
        <v>17</v>
      </c>
      <c r="F9" s="4" t="s">
        <v>31</v>
      </c>
      <c r="G9" s="6">
        <v>7</v>
      </c>
      <c r="H9" s="5">
        <f t="shared" si="0"/>
        <v>455</v>
      </c>
    </row>
    <row r="10" spans="1:11" ht="46.5" customHeight="1">
      <c r="A10" s="7" t="s">
        <v>13</v>
      </c>
      <c r="B10" s="7" t="s">
        <v>14</v>
      </c>
      <c r="C10" s="4" t="s">
        <v>32</v>
      </c>
      <c r="D10" s="4" t="s">
        <v>25</v>
      </c>
      <c r="E10" s="4" t="s">
        <v>17</v>
      </c>
      <c r="F10" s="4" t="s">
        <v>31</v>
      </c>
      <c r="G10" s="6">
        <v>28</v>
      </c>
      <c r="H10" s="5">
        <f t="shared" si="0"/>
        <v>1820</v>
      </c>
      <c r="J10" s="3" t="s">
        <v>7</v>
      </c>
      <c r="K10" s="3" t="s">
        <v>33</v>
      </c>
    </row>
    <row r="11" spans="1:11" ht="46.5" customHeight="1">
      <c r="A11" s="7" t="s">
        <v>13</v>
      </c>
      <c r="B11" s="7" t="s">
        <v>14</v>
      </c>
      <c r="C11" s="4" t="s">
        <v>34</v>
      </c>
      <c r="D11" s="4" t="s">
        <v>28</v>
      </c>
      <c r="E11" s="4" t="s">
        <v>17</v>
      </c>
      <c r="F11" s="4" t="s">
        <v>31</v>
      </c>
      <c r="G11" s="6">
        <v>8</v>
      </c>
      <c r="H11" s="5">
        <f t="shared" si="0"/>
        <v>520</v>
      </c>
      <c r="J11" s="4" t="s">
        <v>16</v>
      </c>
      <c r="K11" s="6">
        <f>SUMIF(D5:D79,"讨论需求",G5:G79)</f>
        <v>34</v>
      </c>
    </row>
    <row r="12" spans="1:11" ht="46.5" customHeight="1">
      <c r="A12" s="7" t="s">
        <v>35</v>
      </c>
      <c r="B12" s="7" t="s">
        <v>36</v>
      </c>
      <c r="C12" s="4" t="s">
        <v>37</v>
      </c>
      <c r="D12" s="4" t="s">
        <v>16</v>
      </c>
      <c r="E12" s="4" t="s">
        <v>38</v>
      </c>
      <c r="F12" s="4" t="s">
        <v>39</v>
      </c>
      <c r="G12" s="6">
        <v>3</v>
      </c>
      <c r="H12" s="5">
        <f t="shared" si="0"/>
        <v>195</v>
      </c>
      <c r="J12" s="4" t="s">
        <v>21</v>
      </c>
      <c r="K12" s="6">
        <f>SUMIF(D5:D79,"设计",G5:G79)</f>
        <v>126</v>
      </c>
    </row>
    <row r="13" spans="1:11" ht="46.5" customHeight="1">
      <c r="A13" s="7" t="s">
        <v>35</v>
      </c>
      <c r="B13" s="7" t="s">
        <v>36</v>
      </c>
      <c r="C13" s="4" t="s">
        <v>40</v>
      </c>
      <c r="D13" s="4" t="s">
        <v>21</v>
      </c>
      <c r="E13" s="4" t="s">
        <v>38</v>
      </c>
      <c r="F13" s="4" t="s">
        <v>39</v>
      </c>
      <c r="G13" s="6">
        <v>8</v>
      </c>
      <c r="H13" s="5">
        <f t="shared" si="0"/>
        <v>520</v>
      </c>
      <c r="J13" s="4" t="s">
        <v>25</v>
      </c>
      <c r="K13" s="6">
        <f>SUMIF(D5:D79,"开发",G5:G79)</f>
        <v>517</v>
      </c>
    </row>
    <row r="14" spans="1:11" ht="46.5" customHeight="1">
      <c r="A14" s="7" t="s">
        <v>35</v>
      </c>
      <c r="B14" s="7" t="s">
        <v>36</v>
      </c>
      <c r="C14" s="4" t="s">
        <v>41</v>
      </c>
      <c r="D14" s="4" t="s">
        <v>25</v>
      </c>
      <c r="E14" s="4" t="s">
        <v>38</v>
      </c>
      <c r="F14" s="4" t="s">
        <v>39</v>
      </c>
      <c r="G14" s="6">
        <v>32</v>
      </c>
      <c r="H14" s="5">
        <f t="shared" si="0"/>
        <v>2080</v>
      </c>
      <c r="J14" s="4" t="s">
        <v>28</v>
      </c>
      <c r="K14" s="6">
        <f>SUMIF(D5:D79,"测试",G5:G79)</f>
        <v>155</v>
      </c>
    </row>
    <row r="15" spans="1:11" ht="46.5" customHeight="1">
      <c r="A15" s="7" t="s">
        <v>35</v>
      </c>
      <c r="B15" s="7" t="s">
        <v>36</v>
      </c>
      <c r="C15" s="4" t="s">
        <v>42</v>
      </c>
      <c r="D15" s="4" t="s">
        <v>28</v>
      </c>
      <c r="E15" s="4" t="s">
        <v>38</v>
      </c>
      <c r="F15" s="4" t="s">
        <v>39</v>
      </c>
      <c r="G15" s="6">
        <v>10</v>
      </c>
      <c r="H15" s="5">
        <f t="shared" si="0"/>
        <v>650</v>
      </c>
    </row>
    <row r="16" spans="1:11" ht="46.5" customHeight="1">
      <c r="A16" s="7" t="s">
        <v>43</v>
      </c>
      <c r="B16" s="7" t="s">
        <v>44</v>
      </c>
      <c r="C16" s="4" t="s">
        <v>45</v>
      </c>
      <c r="D16" s="4" t="s">
        <v>16</v>
      </c>
      <c r="E16" s="4" t="s">
        <v>46</v>
      </c>
      <c r="F16" s="4" t="s">
        <v>47</v>
      </c>
      <c r="G16" s="6">
        <v>6</v>
      </c>
      <c r="H16" s="5">
        <f t="shared" si="0"/>
        <v>390</v>
      </c>
    </row>
    <row r="17" spans="1:8" ht="46.5" customHeight="1">
      <c r="A17" s="7" t="s">
        <v>48</v>
      </c>
      <c r="B17" s="7" t="s">
        <v>44</v>
      </c>
      <c r="C17" s="4" t="s">
        <v>49</v>
      </c>
      <c r="D17" s="4" t="s">
        <v>21</v>
      </c>
      <c r="E17" s="4" t="s">
        <v>50</v>
      </c>
      <c r="F17" s="4" t="s">
        <v>51</v>
      </c>
      <c r="G17" s="6">
        <v>14</v>
      </c>
      <c r="H17" s="5">
        <f t="shared" si="0"/>
        <v>910</v>
      </c>
    </row>
    <row r="18" spans="1:8" ht="46.5" customHeight="1">
      <c r="A18" s="7" t="s">
        <v>52</v>
      </c>
      <c r="B18" s="7" t="s">
        <v>44</v>
      </c>
      <c r="C18" s="4" t="s">
        <v>53</v>
      </c>
      <c r="D18" s="4" t="s">
        <v>25</v>
      </c>
      <c r="E18" s="4" t="s">
        <v>54</v>
      </c>
      <c r="F18" s="4" t="s">
        <v>55</v>
      </c>
      <c r="G18" s="6">
        <v>24</v>
      </c>
      <c r="H18" s="5">
        <f t="shared" si="0"/>
        <v>1560</v>
      </c>
    </row>
    <row r="19" spans="1:8" ht="46.5" customHeight="1">
      <c r="A19" s="7" t="s">
        <v>52</v>
      </c>
      <c r="B19" s="7" t="s">
        <v>44</v>
      </c>
      <c r="C19" s="4" t="s">
        <v>56</v>
      </c>
      <c r="D19" s="4" t="s">
        <v>25</v>
      </c>
      <c r="E19" s="4" t="s">
        <v>57</v>
      </c>
      <c r="F19" s="4" t="s">
        <v>58</v>
      </c>
      <c r="G19" s="6">
        <v>34</v>
      </c>
      <c r="H19" s="5">
        <f t="shared" si="0"/>
        <v>2210</v>
      </c>
    </row>
    <row r="20" spans="1:8" ht="46.5" customHeight="1">
      <c r="A20" s="7" t="s">
        <v>52</v>
      </c>
      <c r="B20" s="7" t="s">
        <v>59</v>
      </c>
      <c r="C20" s="4" t="s">
        <v>60</v>
      </c>
      <c r="D20" s="4" t="s">
        <v>25</v>
      </c>
      <c r="E20" s="4" t="s">
        <v>61</v>
      </c>
      <c r="F20" s="4" t="s">
        <v>62</v>
      </c>
      <c r="G20" s="6">
        <v>42</v>
      </c>
      <c r="H20" s="5">
        <f t="shared" si="0"/>
        <v>2730</v>
      </c>
    </row>
    <row r="21" spans="1:8" ht="46.5" customHeight="1">
      <c r="A21" s="7" t="s">
        <v>52</v>
      </c>
      <c r="B21" s="7" t="s">
        <v>59</v>
      </c>
      <c r="C21" s="4" t="s">
        <v>63</v>
      </c>
      <c r="D21" s="4" t="s">
        <v>25</v>
      </c>
      <c r="E21" s="4" t="s">
        <v>64</v>
      </c>
      <c r="F21" s="4" t="s">
        <v>65</v>
      </c>
      <c r="G21" s="6">
        <v>12</v>
      </c>
      <c r="H21" s="5">
        <f t="shared" si="0"/>
        <v>780</v>
      </c>
    </row>
    <row r="22" spans="1:8" ht="46.5" customHeight="1">
      <c r="A22" s="7" t="s">
        <v>66</v>
      </c>
      <c r="B22" s="7" t="s">
        <v>67</v>
      </c>
      <c r="C22" s="4" t="s">
        <v>68</v>
      </c>
      <c r="D22" s="4" t="s">
        <v>28</v>
      </c>
      <c r="E22" s="4" t="s">
        <v>69</v>
      </c>
      <c r="F22" s="4" t="s">
        <v>70</v>
      </c>
      <c r="G22" s="6">
        <v>18</v>
      </c>
      <c r="H22" s="5">
        <f t="shared" si="0"/>
        <v>1170</v>
      </c>
    </row>
    <row r="23" spans="1:8" ht="46.5" customHeight="1">
      <c r="A23" s="7" t="s">
        <v>71</v>
      </c>
      <c r="B23" s="7" t="s">
        <v>72</v>
      </c>
      <c r="C23" s="4" t="s">
        <v>73</v>
      </c>
      <c r="D23" s="4" t="s">
        <v>21</v>
      </c>
      <c r="E23" s="4" t="s">
        <v>74</v>
      </c>
      <c r="F23" s="4" t="s">
        <v>75</v>
      </c>
      <c r="G23" s="6">
        <v>4</v>
      </c>
      <c r="H23" s="5">
        <f t="shared" si="0"/>
        <v>260</v>
      </c>
    </row>
    <row r="24" spans="1:8" ht="46.5" customHeight="1">
      <c r="A24" s="7" t="s">
        <v>71</v>
      </c>
      <c r="B24" s="7" t="s">
        <v>72</v>
      </c>
      <c r="C24" s="4" t="s">
        <v>76</v>
      </c>
      <c r="D24" s="4" t="s">
        <v>25</v>
      </c>
      <c r="E24" s="4" t="s">
        <v>77</v>
      </c>
      <c r="F24" s="4" t="s">
        <v>75</v>
      </c>
      <c r="G24" s="6">
        <v>12</v>
      </c>
      <c r="H24" s="5">
        <f t="shared" si="0"/>
        <v>780</v>
      </c>
    </row>
    <row r="25" spans="1:8" ht="46.5" customHeight="1">
      <c r="A25" s="7" t="s">
        <v>71</v>
      </c>
      <c r="B25" s="7" t="s">
        <v>72</v>
      </c>
      <c r="C25" s="4" t="s">
        <v>78</v>
      </c>
      <c r="D25" s="4" t="s">
        <v>28</v>
      </c>
      <c r="E25" s="4" t="s">
        <v>79</v>
      </c>
      <c r="F25" s="4" t="s">
        <v>75</v>
      </c>
      <c r="G25" s="6">
        <v>4</v>
      </c>
      <c r="H25" s="5">
        <f t="shared" si="0"/>
        <v>260</v>
      </c>
    </row>
    <row r="26" spans="1:8" ht="46.5" customHeight="1">
      <c r="A26" s="7" t="s">
        <v>80</v>
      </c>
      <c r="B26" s="7" t="s">
        <v>81</v>
      </c>
      <c r="C26" s="4" t="s">
        <v>82</v>
      </c>
      <c r="D26" s="4" t="s">
        <v>16</v>
      </c>
      <c r="E26" s="4" t="s">
        <v>83</v>
      </c>
      <c r="F26" s="4" t="s">
        <v>84</v>
      </c>
      <c r="G26" s="6">
        <v>2</v>
      </c>
      <c r="H26" s="5">
        <f t="shared" si="0"/>
        <v>130</v>
      </c>
    </row>
    <row r="27" spans="1:8" ht="46.5" customHeight="1">
      <c r="A27" s="7" t="s">
        <v>80</v>
      </c>
      <c r="B27" s="7" t="s">
        <v>81</v>
      </c>
      <c r="C27" s="4" t="s">
        <v>85</v>
      </c>
      <c r="D27" s="4" t="s">
        <v>21</v>
      </c>
      <c r="E27" s="4" t="s">
        <v>86</v>
      </c>
      <c r="F27" s="4" t="s">
        <v>84</v>
      </c>
      <c r="G27" s="6">
        <v>5</v>
      </c>
      <c r="H27" s="5">
        <f t="shared" si="0"/>
        <v>325</v>
      </c>
    </row>
    <row r="28" spans="1:8" ht="46.5" customHeight="1">
      <c r="A28" s="7" t="s">
        <v>80</v>
      </c>
      <c r="B28" s="7" t="s">
        <v>81</v>
      </c>
      <c r="C28" s="4" t="s">
        <v>87</v>
      </c>
      <c r="D28" s="4" t="s">
        <v>25</v>
      </c>
      <c r="E28" s="4" t="s">
        <v>88</v>
      </c>
      <c r="F28" s="4" t="s">
        <v>84</v>
      </c>
      <c r="G28" s="6">
        <v>18</v>
      </c>
      <c r="H28" s="5">
        <f t="shared" si="0"/>
        <v>1170</v>
      </c>
    </row>
    <row r="29" spans="1:8" ht="46.5" customHeight="1">
      <c r="A29" s="7" t="s">
        <v>80</v>
      </c>
      <c r="B29" s="7" t="s">
        <v>81</v>
      </c>
      <c r="C29" s="4" t="s">
        <v>89</v>
      </c>
      <c r="D29" s="4" t="s">
        <v>28</v>
      </c>
      <c r="E29" s="4" t="s">
        <v>90</v>
      </c>
      <c r="F29" s="4" t="s">
        <v>84</v>
      </c>
      <c r="G29" s="6">
        <v>9</v>
      </c>
      <c r="H29" s="5">
        <f t="shared" si="0"/>
        <v>585</v>
      </c>
    </row>
    <row r="30" spans="1:8" ht="46.5" customHeight="1">
      <c r="A30" s="7" t="s">
        <v>91</v>
      </c>
      <c r="B30" s="7" t="s">
        <v>92</v>
      </c>
      <c r="C30" s="4" t="s">
        <v>93</v>
      </c>
      <c r="D30" s="4" t="s">
        <v>16</v>
      </c>
      <c r="E30" s="4" t="s">
        <v>94</v>
      </c>
      <c r="F30" s="4" t="s">
        <v>95</v>
      </c>
      <c r="G30" s="6">
        <v>2</v>
      </c>
      <c r="H30" s="5">
        <f t="shared" si="0"/>
        <v>130</v>
      </c>
    </row>
    <row r="31" spans="1:8" ht="46.5" customHeight="1">
      <c r="A31" s="7" t="s">
        <v>91</v>
      </c>
      <c r="B31" s="7" t="s">
        <v>92</v>
      </c>
      <c r="C31" s="4" t="s">
        <v>96</v>
      </c>
      <c r="D31" s="4" t="s">
        <v>21</v>
      </c>
      <c r="E31" s="4" t="s">
        <v>94</v>
      </c>
      <c r="F31" s="4" t="s">
        <v>95</v>
      </c>
      <c r="G31" s="6">
        <v>5</v>
      </c>
      <c r="H31" s="5">
        <f t="shared" si="0"/>
        <v>325</v>
      </c>
    </row>
    <row r="32" spans="1:8" ht="46.5" customHeight="1">
      <c r="A32" s="7" t="s">
        <v>91</v>
      </c>
      <c r="B32" s="7" t="s">
        <v>92</v>
      </c>
      <c r="C32" s="4" t="s">
        <v>97</v>
      </c>
      <c r="D32" s="4" t="s">
        <v>25</v>
      </c>
      <c r="E32" s="4" t="s">
        <v>94</v>
      </c>
      <c r="F32" s="4" t="s">
        <v>95</v>
      </c>
      <c r="G32" s="6">
        <v>22</v>
      </c>
      <c r="H32" s="5">
        <f t="shared" si="0"/>
        <v>1430</v>
      </c>
    </row>
    <row r="33" spans="1:8" ht="46.5" customHeight="1">
      <c r="A33" s="7" t="s">
        <v>91</v>
      </c>
      <c r="B33" s="7" t="s">
        <v>92</v>
      </c>
      <c r="C33" s="4" t="s">
        <v>98</v>
      </c>
      <c r="D33" s="4" t="s">
        <v>28</v>
      </c>
      <c r="E33" s="4" t="s">
        <v>94</v>
      </c>
      <c r="F33" s="4" t="s">
        <v>95</v>
      </c>
      <c r="G33" s="6">
        <v>6</v>
      </c>
      <c r="H33" s="5">
        <f t="shared" si="0"/>
        <v>390</v>
      </c>
    </row>
    <row r="34" spans="1:8" ht="46.5" customHeight="1">
      <c r="A34" s="7" t="s">
        <v>99</v>
      </c>
      <c r="B34" s="7" t="s">
        <v>99</v>
      </c>
      <c r="C34" s="4" t="s">
        <v>100</v>
      </c>
      <c r="D34" s="4" t="s">
        <v>25</v>
      </c>
      <c r="E34" s="4" t="s">
        <v>101</v>
      </c>
      <c r="F34" s="4" t="s">
        <v>102</v>
      </c>
      <c r="G34" s="6">
        <v>5</v>
      </c>
      <c r="H34" s="5">
        <f t="shared" si="0"/>
        <v>325</v>
      </c>
    </row>
    <row r="35" spans="1:8" ht="46.5" customHeight="1">
      <c r="A35" s="7" t="s">
        <v>99</v>
      </c>
      <c r="B35" s="7" t="s">
        <v>99</v>
      </c>
      <c r="C35" s="4" t="s">
        <v>103</v>
      </c>
      <c r="D35" s="4" t="s">
        <v>28</v>
      </c>
      <c r="E35" s="4" t="s">
        <v>101</v>
      </c>
      <c r="F35" s="4" t="s">
        <v>102</v>
      </c>
      <c r="G35" s="6">
        <v>2</v>
      </c>
      <c r="H35" s="5">
        <f t="shared" si="0"/>
        <v>130</v>
      </c>
    </row>
    <row r="36" spans="1:8" ht="46.5" customHeight="1">
      <c r="A36" s="7" t="s">
        <v>104</v>
      </c>
      <c r="B36" s="7" t="s">
        <v>105</v>
      </c>
      <c r="C36" s="4" t="s">
        <v>106</v>
      </c>
      <c r="D36" s="4" t="s">
        <v>16</v>
      </c>
      <c r="E36" s="4" t="s">
        <v>107</v>
      </c>
      <c r="F36" s="4" t="s">
        <v>108</v>
      </c>
      <c r="G36" s="6">
        <v>2</v>
      </c>
      <c r="H36" s="5">
        <f t="shared" si="0"/>
        <v>130</v>
      </c>
    </row>
    <row r="37" spans="1:8" ht="46.5" customHeight="1">
      <c r="A37" s="7" t="s">
        <v>104</v>
      </c>
      <c r="B37" s="7" t="s">
        <v>105</v>
      </c>
      <c r="C37" s="4" t="s">
        <v>109</v>
      </c>
      <c r="D37" s="4" t="s">
        <v>25</v>
      </c>
      <c r="E37" s="4" t="s">
        <v>110</v>
      </c>
      <c r="F37" s="4" t="s">
        <v>108</v>
      </c>
      <c r="G37" s="6">
        <v>10</v>
      </c>
      <c r="H37" s="5">
        <f t="shared" ref="H37:H68" si="1">G37*$K$3</f>
        <v>650</v>
      </c>
    </row>
    <row r="38" spans="1:8" ht="46.5" customHeight="1">
      <c r="A38" s="7" t="s">
        <v>104</v>
      </c>
      <c r="B38" s="7" t="s">
        <v>105</v>
      </c>
      <c r="C38" s="4" t="s">
        <v>111</v>
      </c>
      <c r="D38" s="4" t="s">
        <v>28</v>
      </c>
      <c r="E38" s="4" t="s">
        <v>112</v>
      </c>
      <c r="F38" s="4" t="s">
        <v>108</v>
      </c>
      <c r="G38" s="6">
        <v>4</v>
      </c>
      <c r="H38" s="5">
        <f t="shared" si="1"/>
        <v>260</v>
      </c>
    </row>
    <row r="39" spans="1:8" ht="46.5" customHeight="1">
      <c r="A39" s="7" t="s">
        <v>113</v>
      </c>
      <c r="B39" s="7" t="s">
        <v>114</v>
      </c>
      <c r="C39" s="4" t="s">
        <v>115</v>
      </c>
      <c r="D39" s="4" t="s">
        <v>16</v>
      </c>
      <c r="E39" s="4" t="s">
        <v>116</v>
      </c>
      <c r="F39" s="4" t="s">
        <v>117</v>
      </c>
      <c r="G39" s="6">
        <v>5</v>
      </c>
      <c r="H39" s="5">
        <f t="shared" si="1"/>
        <v>325</v>
      </c>
    </row>
    <row r="40" spans="1:8" ht="46.5" customHeight="1">
      <c r="A40" s="7" t="s">
        <v>113</v>
      </c>
      <c r="B40" s="7" t="s">
        <v>114</v>
      </c>
      <c r="C40" s="4" t="s">
        <v>118</v>
      </c>
      <c r="D40" s="4" t="s">
        <v>21</v>
      </c>
      <c r="E40" s="4" t="s">
        <v>116</v>
      </c>
      <c r="F40" s="4" t="s">
        <v>117</v>
      </c>
      <c r="G40" s="6">
        <v>12</v>
      </c>
      <c r="H40" s="5">
        <f t="shared" si="1"/>
        <v>780</v>
      </c>
    </row>
    <row r="41" spans="1:8" ht="46.5" customHeight="1">
      <c r="A41" s="7" t="s">
        <v>113</v>
      </c>
      <c r="B41" s="7" t="s">
        <v>114</v>
      </c>
      <c r="C41" s="4" t="s">
        <v>119</v>
      </c>
      <c r="D41" s="4" t="s">
        <v>25</v>
      </c>
      <c r="E41" s="4" t="s">
        <v>116</v>
      </c>
      <c r="F41" s="4" t="s">
        <v>117</v>
      </c>
      <c r="G41" s="6">
        <v>8</v>
      </c>
      <c r="H41" s="5">
        <f t="shared" si="1"/>
        <v>520</v>
      </c>
    </row>
    <row r="42" spans="1:8" ht="46.5" customHeight="1">
      <c r="A42" s="7" t="s">
        <v>114</v>
      </c>
      <c r="B42" s="7" t="s">
        <v>120</v>
      </c>
      <c r="C42" s="4" t="s">
        <v>121</v>
      </c>
      <c r="D42" s="4" t="s">
        <v>21</v>
      </c>
      <c r="E42" s="4" t="s">
        <v>122</v>
      </c>
      <c r="F42" s="4" t="s">
        <v>123</v>
      </c>
      <c r="G42" s="6">
        <v>6</v>
      </c>
      <c r="H42" s="5">
        <f t="shared" si="1"/>
        <v>390</v>
      </c>
    </row>
    <row r="43" spans="1:8" ht="46.5" customHeight="1">
      <c r="A43" s="7" t="s">
        <v>114</v>
      </c>
      <c r="B43" s="7" t="s">
        <v>120</v>
      </c>
      <c r="C43" s="4" t="s">
        <v>124</v>
      </c>
      <c r="D43" s="4" t="s">
        <v>25</v>
      </c>
      <c r="E43" s="4" t="s">
        <v>122</v>
      </c>
      <c r="F43" s="4" t="s">
        <v>123</v>
      </c>
      <c r="G43" s="6">
        <v>22</v>
      </c>
      <c r="H43" s="5">
        <f t="shared" si="1"/>
        <v>1430</v>
      </c>
    </row>
    <row r="44" spans="1:8" ht="46.5" customHeight="1">
      <c r="A44" s="7" t="s">
        <v>114</v>
      </c>
      <c r="B44" s="7" t="s">
        <v>120</v>
      </c>
      <c r="C44" s="4" t="s">
        <v>125</v>
      </c>
      <c r="D44" s="4" t="s">
        <v>28</v>
      </c>
      <c r="E44" s="4" t="s">
        <v>122</v>
      </c>
      <c r="F44" s="4" t="s">
        <v>123</v>
      </c>
      <c r="G44" s="6">
        <v>7</v>
      </c>
      <c r="H44" s="5">
        <f t="shared" si="1"/>
        <v>455</v>
      </c>
    </row>
    <row r="45" spans="1:8" ht="46.5" customHeight="1">
      <c r="A45" s="7" t="s">
        <v>120</v>
      </c>
      <c r="B45" s="7" t="s">
        <v>126</v>
      </c>
      <c r="C45" s="4" t="s">
        <v>127</v>
      </c>
      <c r="D45" s="4" t="s">
        <v>21</v>
      </c>
      <c r="E45" s="4" t="s">
        <v>122</v>
      </c>
      <c r="F45" s="4" t="s">
        <v>128</v>
      </c>
      <c r="G45" s="6">
        <v>7</v>
      </c>
      <c r="H45" s="5">
        <f t="shared" si="1"/>
        <v>455</v>
      </c>
    </row>
    <row r="46" spans="1:8" ht="46.5" customHeight="1">
      <c r="A46" s="7" t="s">
        <v>120</v>
      </c>
      <c r="B46" s="7" t="s">
        <v>126</v>
      </c>
      <c r="C46" s="4" t="s">
        <v>129</v>
      </c>
      <c r="D46" s="4" t="s">
        <v>25</v>
      </c>
      <c r="E46" s="4" t="s">
        <v>122</v>
      </c>
      <c r="F46" s="4" t="s">
        <v>128</v>
      </c>
      <c r="G46" s="6">
        <v>26</v>
      </c>
      <c r="H46" s="5">
        <f t="shared" si="1"/>
        <v>1690</v>
      </c>
    </row>
    <row r="47" spans="1:8" ht="46.5" customHeight="1">
      <c r="A47" s="7" t="s">
        <v>120</v>
      </c>
      <c r="B47" s="7" t="s">
        <v>126</v>
      </c>
      <c r="C47" s="4" t="s">
        <v>130</v>
      </c>
      <c r="D47" s="4" t="s">
        <v>28</v>
      </c>
      <c r="E47" s="4" t="s">
        <v>122</v>
      </c>
      <c r="F47" s="4" t="s">
        <v>128</v>
      </c>
      <c r="G47" s="6">
        <v>8</v>
      </c>
      <c r="H47" s="5">
        <f t="shared" si="1"/>
        <v>520</v>
      </c>
    </row>
    <row r="48" spans="1:8" ht="46.5" customHeight="1">
      <c r="A48" s="7" t="s">
        <v>126</v>
      </c>
      <c r="B48" s="7" t="s">
        <v>131</v>
      </c>
      <c r="C48" s="4" t="s">
        <v>132</v>
      </c>
      <c r="D48" s="4" t="s">
        <v>21</v>
      </c>
      <c r="E48" s="4" t="s">
        <v>122</v>
      </c>
      <c r="F48" s="4" t="s">
        <v>133</v>
      </c>
      <c r="G48" s="6">
        <v>9</v>
      </c>
      <c r="H48" s="5">
        <f t="shared" si="1"/>
        <v>585</v>
      </c>
    </row>
    <row r="49" spans="1:8" ht="46.5" customHeight="1">
      <c r="A49" s="7" t="s">
        <v>126</v>
      </c>
      <c r="B49" s="7" t="s">
        <v>131</v>
      </c>
      <c r="C49" s="4" t="s">
        <v>134</v>
      </c>
      <c r="D49" s="4" t="s">
        <v>25</v>
      </c>
      <c r="E49" s="4" t="s">
        <v>122</v>
      </c>
      <c r="F49" s="4" t="s">
        <v>133</v>
      </c>
      <c r="G49" s="6">
        <v>42</v>
      </c>
      <c r="H49" s="5">
        <f t="shared" si="1"/>
        <v>2730</v>
      </c>
    </row>
    <row r="50" spans="1:8" ht="46.5" customHeight="1">
      <c r="A50" s="7" t="s">
        <v>126</v>
      </c>
      <c r="B50" s="7" t="s">
        <v>131</v>
      </c>
      <c r="C50" s="4" t="s">
        <v>135</v>
      </c>
      <c r="D50" s="4" t="s">
        <v>28</v>
      </c>
      <c r="E50" s="4" t="s">
        <v>122</v>
      </c>
      <c r="F50" s="4" t="s">
        <v>133</v>
      </c>
      <c r="G50" s="6">
        <v>13</v>
      </c>
      <c r="H50" s="5">
        <f t="shared" si="1"/>
        <v>845</v>
      </c>
    </row>
    <row r="51" spans="1:8" ht="46.5" customHeight="1">
      <c r="A51" s="7" t="s">
        <v>136</v>
      </c>
      <c r="B51" s="7" t="s">
        <v>137</v>
      </c>
      <c r="C51" s="4" t="s">
        <v>138</v>
      </c>
      <c r="D51" s="4" t="s">
        <v>21</v>
      </c>
      <c r="E51" s="4" t="s">
        <v>139</v>
      </c>
      <c r="F51" s="4" t="s">
        <v>140</v>
      </c>
      <c r="G51" s="6">
        <v>8</v>
      </c>
      <c r="H51" s="5">
        <f t="shared" si="1"/>
        <v>520</v>
      </c>
    </row>
    <row r="52" spans="1:8" ht="46.5" customHeight="1">
      <c r="A52" s="7" t="s">
        <v>136</v>
      </c>
      <c r="B52" s="7" t="s">
        <v>137</v>
      </c>
      <c r="C52" s="4" t="s">
        <v>141</v>
      </c>
      <c r="D52" s="4" t="s">
        <v>25</v>
      </c>
      <c r="E52" s="4" t="s">
        <v>139</v>
      </c>
      <c r="F52" s="4" t="s">
        <v>142</v>
      </c>
      <c r="G52" s="6">
        <v>22</v>
      </c>
      <c r="H52" s="5">
        <f t="shared" si="1"/>
        <v>1430</v>
      </c>
    </row>
    <row r="53" spans="1:8" ht="46.5" customHeight="1">
      <c r="A53" s="7" t="s">
        <v>136</v>
      </c>
      <c r="B53" s="7" t="s">
        <v>137</v>
      </c>
      <c r="C53" s="4" t="s">
        <v>143</v>
      </c>
      <c r="D53" s="4" t="s">
        <v>25</v>
      </c>
      <c r="E53" s="4" t="s">
        <v>144</v>
      </c>
      <c r="F53" s="4" t="s">
        <v>145</v>
      </c>
      <c r="G53" s="6">
        <v>24</v>
      </c>
      <c r="H53" s="5">
        <f t="shared" si="1"/>
        <v>1560</v>
      </c>
    </row>
    <row r="54" spans="1:8" ht="46.5" customHeight="1">
      <c r="A54" s="7" t="s">
        <v>136</v>
      </c>
      <c r="B54" s="7" t="s">
        <v>137</v>
      </c>
      <c r="C54" s="4" t="s">
        <v>146</v>
      </c>
      <c r="D54" s="4" t="s">
        <v>28</v>
      </c>
      <c r="E54" s="4" t="s">
        <v>147</v>
      </c>
      <c r="F54" s="4" t="s">
        <v>140</v>
      </c>
      <c r="G54" s="6">
        <v>10</v>
      </c>
      <c r="H54" s="5">
        <f t="shared" si="1"/>
        <v>650</v>
      </c>
    </row>
    <row r="55" spans="1:8" ht="46.5" customHeight="1">
      <c r="A55" s="7" t="s">
        <v>137</v>
      </c>
      <c r="B55" s="7" t="s">
        <v>120</v>
      </c>
      <c r="C55" s="4" t="s">
        <v>148</v>
      </c>
      <c r="D55" s="4" t="s">
        <v>21</v>
      </c>
      <c r="E55" s="4" t="s">
        <v>147</v>
      </c>
      <c r="F55" s="4" t="s">
        <v>149</v>
      </c>
      <c r="G55" s="6">
        <v>6</v>
      </c>
      <c r="H55" s="5">
        <f t="shared" si="1"/>
        <v>390</v>
      </c>
    </row>
    <row r="56" spans="1:8" ht="46.5" customHeight="1">
      <c r="A56" s="7" t="s">
        <v>137</v>
      </c>
      <c r="B56" s="7" t="s">
        <v>120</v>
      </c>
      <c r="C56" s="4" t="s">
        <v>150</v>
      </c>
      <c r="D56" s="4" t="s">
        <v>25</v>
      </c>
      <c r="E56" s="4" t="s">
        <v>147</v>
      </c>
      <c r="F56" s="4" t="s">
        <v>149</v>
      </c>
      <c r="G56" s="6">
        <v>24</v>
      </c>
      <c r="H56" s="5">
        <f t="shared" si="1"/>
        <v>1560</v>
      </c>
    </row>
    <row r="57" spans="1:8" ht="46.5" customHeight="1">
      <c r="A57" s="7" t="s">
        <v>137</v>
      </c>
      <c r="B57" s="7" t="s">
        <v>120</v>
      </c>
      <c r="C57" s="4" t="s">
        <v>151</v>
      </c>
      <c r="D57" s="4" t="s">
        <v>28</v>
      </c>
      <c r="E57" s="4" t="s">
        <v>147</v>
      </c>
      <c r="F57" s="4" t="s">
        <v>149</v>
      </c>
      <c r="G57" s="6">
        <v>8</v>
      </c>
      <c r="H57" s="5">
        <f t="shared" si="1"/>
        <v>520</v>
      </c>
    </row>
    <row r="58" spans="1:8" ht="46.5" customHeight="1">
      <c r="A58" s="7" t="s">
        <v>136</v>
      </c>
      <c r="B58" s="7" t="s">
        <v>152</v>
      </c>
      <c r="C58" s="4" t="s">
        <v>153</v>
      </c>
      <c r="D58" s="4" t="s">
        <v>21</v>
      </c>
      <c r="E58" s="4" t="s">
        <v>139</v>
      </c>
      <c r="F58" s="4" t="s">
        <v>154</v>
      </c>
      <c r="G58" s="6">
        <v>8</v>
      </c>
      <c r="H58" s="5">
        <f t="shared" si="1"/>
        <v>520</v>
      </c>
    </row>
    <row r="59" spans="1:8" ht="46.5" customHeight="1">
      <c r="A59" s="7" t="s">
        <v>136</v>
      </c>
      <c r="B59" s="7" t="s">
        <v>152</v>
      </c>
      <c r="C59" s="4" t="s">
        <v>155</v>
      </c>
      <c r="D59" s="4" t="s">
        <v>25</v>
      </c>
      <c r="E59" s="4" t="s">
        <v>156</v>
      </c>
      <c r="F59" s="4" t="s">
        <v>154</v>
      </c>
      <c r="G59" s="6">
        <v>18</v>
      </c>
      <c r="H59" s="5">
        <f t="shared" si="1"/>
        <v>1170</v>
      </c>
    </row>
    <row r="60" spans="1:8" ht="46.5" customHeight="1">
      <c r="A60" s="7" t="s">
        <v>136</v>
      </c>
      <c r="B60" s="7" t="s">
        <v>152</v>
      </c>
      <c r="C60" s="4" t="s">
        <v>157</v>
      </c>
      <c r="D60" s="4" t="s">
        <v>28</v>
      </c>
      <c r="E60" s="4" t="s">
        <v>158</v>
      </c>
      <c r="F60" s="4" t="s">
        <v>154</v>
      </c>
      <c r="G60" s="6">
        <v>12</v>
      </c>
      <c r="H60" s="5">
        <f t="shared" si="1"/>
        <v>780</v>
      </c>
    </row>
    <row r="61" spans="1:8" ht="46.5" customHeight="1">
      <c r="A61" s="7" t="s">
        <v>159</v>
      </c>
      <c r="B61" s="7" t="s">
        <v>160</v>
      </c>
      <c r="C61" s="4" t="s">
        <v>161</v>
      </c>
      <c r="D61" s="4" t="s">
        <v>16</v>
      </c>
      <c r="E61" s="4" t="s">
        <v>162</v>
      </c>
      <c r="F61" s="4" t="s">
        <v>163</v>
      </c>
      <c r="G61" s="6">
        <v>3</v>
      </c>
      <c r="H61" s="5">
        <f t="shared" si="1"/>
        <v>195</v>
      </c>
    </row>
    <row r="62" spans="1:8" ht="46.5" customHeight="1">
      <c r="A62" s="7" t="s">
        <v>159</v>
      </c>
      <c r="B62" s="7" t="s">
        <v>160</v>
      </c>
      <c r="C62" s="4" t="s">
        <v>164</v>
      </c>
      <c r="D62" s="4" t="s">
        <v>21</v>
      </c>
      <c r="E62" s="4" t="s">
        <v>165</v>
      </c>
      <c r="F62" s="4" t="s">
        <v>163</v>
      </c>
      <c r="G62" s="6">
        <v>6</v>
      </c>
      <c r="H62" s="5">
        <f t="shared" si="1"/>
        <v>390</v>
      </c>
    </row>
    <row r="63" spans="1:8" ht="46.5" customHeight="1">
      <c r="A63" s="7" t="s">
        <v>159</v>
      </c>
      <c r="B63" s="7" t="s">
        <v>160</v>
      </c>
      <c r="C63" s="4" t="s">
        <v>166</v>
      </c>
      <c r="D63" s="4" t="s">
        <v>25</v>
      </c>
      <c r="E63" s="4" t="s">
        <v>167</v>
      </c>
      <c r="F63" s="4" t="s">
        <v>163</v>
      </c>
      <c r="G63" s="6">
        <v>22</v>
      </c>
      <c r="H63" s="5">
        <f t="shared" si="1"/>
        <v>1430</v>
      </c>
    </row>
    <row r="64" spans="1:8" ht="46.5" customHeight="1">
      <c r="A64" s="7" t="s">
        <v>159</v>
      </c>
      <c r="B64" s="7" t="s">
        <v>160</v>
      </c>
      <c r="C64" s="4" t="s">
        <v>168</v>
      </c>
      <c r="D64" s="4" t="s">
        <v>28</v>
      </c>
      <c r="E64" s="4" t="s">
        <v>169</v>
      </c>
      <c r="F64" s="4" t="s">
        <v>163</v>
      </c>
      <c r="G64" s="6">
        <v>10</v>
      </c>
      <c r="H64" s="5">
        <f t="shared" si="1"/>
        <v>650</v>
      </c>
    </row>
    <row r="65" spans="1:8" ht="46.5" customHeight="1">
      <c r="A65" s="7" t="s">
        <v>170</v>
      </c>
      <c r="B65" s="7" t="s">
        <v>171</v>
      </c>
      <c r="C65" s="4" t="s">
        <v>172</v>
      </c>
      <c r="D65" s="4" t="s">
        <v>16</v>
      </c>
      <c r="E65" s="4" t="s">
        <v>173</v>
      </c>
      <c r="F65" s="4" t="s">
        <v>174</v>
      </c>
      <c r="G65" s="6">
        <v>2</v>
      </c>
      <c r="H65" s="5">
        <f t="shared" si="1"/>
        <v>130</v>
      </c>
    </row>
    <row r="66" spans="1:8" ht="46.5" customHeight="1">
      <c r="A66" s="7" t="s">
        <v>170</v>
      </c>
      <c r="B66" s="7" t="s">
        <v>171</v>
      </c>
      <c r="C66" s="4" t="s">
        <v>175</v>
      </c>
      <c r="D66" s="4" t="s">
        <v>21</v>
      </c>
      <c r="E66" s="4" t="s">
        <v>173</v>
      </c>
      <c r="F66" s="4" t="s">
        <v>174</v>
      </c>
      <c r="G66" s="6">
        <v>4</v>
      </c>
      <c r="H66" s="5">
        <f t="shared" si="1"/>
        <v>260</v>
      </c>
    </row>
    <row r="67" spans="1:8" ht="46.5" customHeight="1">
      <c r="A67" s="7" t="s">
        <v>170</v>
      </c>
      <c r="B67" s="7" t="s">
        <v>171</v>
      </c>
      <c r="C67" s="4" t="s">
        <v>176</v>
      </c>
      <c r="D67" s="4" t="s">
        <v>25</v>
      </c>
      <c r="E67" s="4" t="s">
        <v>177</v>
      </c>
      <c r="F67" s="4" t="s">
        <v>174</v>
      </c>
      <c r="G67" s="6">
        <v>16</v>
      </c>
      <c r="H67" s="5">
        <f t="shared" si="1"/>
        <v>1040</v>
      </c>
    </row>
    <row r="68" spans="1:8" ht="46.5" customHeight="1">
      <c r="A68" s="7" t="s">
        <v>170</v>
      </c>
      <c r="B68" s="7" t="s">
        <v>171</v>
      </c>
      <c r="C68" s="4" t="s">
        <v>178</v>
      </c>
      <c r="D68" s="4" t="s">
        <v>28</v>
      </c>
      <c r="E68" s="4" t="s">
        <v>179</v>
      </c>
      <c r="F68" s="4" t="s">
        <v>174</v>
      </c>
      <c r="G68" s="6">
        <v>6</v>
      </c>
      <c r="H68" s="5">
        <f t="shared" si="1"/>
        <v>390</v>
      </c>
    </row>
    <row r="69" spans="1:8" ht="46.5" customHeight="1">
      <c r="A69" s="7" t="s">
        <v>180</v>
      </c>
      <c r="B69" s="7" t="s">
        <v>181</v>
      </c>
      <c r="C69" s="4" t="s">
        <v>182</v>
      </c>
      <c r="D69" s="4" t="s">
        <v>16</v>
      </c>
      <c r="E69" s="4" t="s">
        <v>183</v>
      </c>
      <c r="F69" s="4" t="s">
        <v>184</v>
      </c>
      <c r="G69" s="6">
        <v>3</v>
      </c>
      <c r="H69" s="5">
        <f t="shared" ref="H69:H100" si="2">G69*$K$3</f>
        <v>195</v>
      </c>
    </row>
    <row r="70" spans="1:8" ht="46.5" customHeight="1">
      <c r="A70" s="7" t="s">
        <v>180</v>
      </c>
      <c r="B70" s="7" t="s">
        <v>181</v>
      </c>
      <c r="C70" s="4" t="s">
        <v>185</v>
      </c>
      <c r="D70" s="4" t="s">
        <v>21</v>
      </c>
      <c r="E70" s="4" t="s">
        <v>183</v>
      </c>
      <c r="F70" s="4" t="s">
        <v>184</v>
      </c>
      <c r="G70" s="6">
        <v>4</v>
      </c>
      <c r="H70" s="5">
        <f t="shared" si="2"/>
        <v>260</v>
      </c>
    </row>
    <row r="71" spans="1:8" ht="46.5" customHeight="1">
      <c r="A71" s="7" t="s">
        <v>186</v>
      </c>
      <c r="B71" s="7" t="s">
        <v>187</v>
      </c>
      <c r="C71" s="4" t="s">
        <v>188</v>
      </c>
      <c r="D71" s="4" t="s">
        <v>25</v>
      </c>
      <c r="E71" s="4" t="s">
        <v>189</v>
      </c>
      <c r="F71" s="4" t="s">
        <v>184</v>
      </c>
      <c r="G71" s="6">
        <v>5</v>
      </c>
      <c r="H71" s="5">
        <f t="shared" si="2"/>
        <v>325</v>
      </c>
    </row>
    <row r="72" spans="1:8" ht="46.5" customHeight="1">
      <c r="A72" s="7" t="s">
        <v>186</v>
      </c>
      <c r="B72" s="7" t="s">
        <v>187</v>
      </c>
      <c r="C72" s="4" t="s">
        <v>190</v>
      </c>
      <c r="D72" s="4" t="s">
        <v>28</v>
      </c>
      <c r="E72" s="4" t="s">
        <v>189</v>
      </c>
      <c r="F72" s="4" t="s">
        <v>184</v>
      </c>
      <c r="G72" s="6">
        <v>2</v>
      </c>
      <c r="H72" s="5">
        <f t="shared" si="2"/>
        <v>130</v>
      </c>
    </row>
    <row r="73" spans="1:8" ht="46.5" customHeight="1">
      <c r="A73" s="7" t="s">
        <v>191</v>
      </c>
      <c r="B73" s="7" t="s">
        <v>192</v>
      </c>
      <c r="C73" s="4" t="s">
        <v>193</v>
      </c>
      <c r="D73" s="4" t="s">
        <v>16</v>
      </c>
      <c r="E73" s="4" t="s">
        <v>194</v>
      </c>
      <c r="F73" s="4" t="s">
        <v>195</v>
      </c>
      <c r="G73" s="6">
        <v>2</v>
      </c>
      <c r="H73" s="5">
        <f t="shared" si="2"/>
        <v>130</v>
      </c>
    </row>
    <row r="74" spans="1:8" ht="46.5" customHeight="1">
      <c r="A74" s="7" t="s">
        <v>191</v>
      </c>
      <c r="B74" s="7" t="s">
        <v>192</v>
      </c>
      <c r="C74" s="4" t="s">
        <v>196</v>
      </c>
      <c r="D74" s="4" t="s">
        <v>21</v>
      </c>
      <c r="E74" s="4" t="s">
        <v>194</v>
      </c>
      <c r="F74" s="4" t="s">
        <v>195</v>
      </c>
      <c r="G74" s="6">
        <v>7</v>
      </c>
      <c r="H74" s="5">
        <f t="shared" si="2"/>
        <v>455</v>
      </c>
    </row>
    <row r="75" spans="1:8" ht="46.5" customHeight="1">
      <c r="A75" s="7" t="s">
        <v>191</v>
      </c>
      <c r="B75" s="7" t="s">
        <v>192</v>
      </c>
      <c r="C75" s="4" t="s">
        <v>197</v>
      </c>
      <c r="D75" s="4" t="s">
        <v>25</v>
      </c>
      <c r="E75" s="4" t="s">
        <v>198</v>
      </c>
      <c r="F75" s="4" t="s">
        <v>195</v>
      </c>
      <c r="G75" s="6">
        <v>18</v>
      </c>
      <c r="H75" s="5">
        <f t="shared" si="2"/>
        <v>1170</v>
      </c>
    </row>
    <row r="76" spans="1:8" ht="46.5" customHeight="1">
      <c r="A76" s="7" t="s">
        <v>191</v>
      </c>
      <c r="B76" s="7" t="s">
        <v>192</v>
      </c>
      <c r="C76" s="4" t="s">
        <v>199</v>
      </c>
      <c r="D76" s="4" t="s">
        <v>28</v>
      </c>
      <c r="E76" s="4" t="s">
        <v>200</v>
      </c>
      <c r="F76" s="4" t="s">
        <v>195</v>
      </c>
      <c r="G76" s="6">
        <v>8</v>
      </c>
      <c r="H76" s="5">
        <f t="shared" si="2"/>
        <v>520</v>
      </c>
    </row>
    <row r="77" spans="1:8" ht="46.5" customHeight="1">
      <c r="A77" s="7" t="s">
        <v>201</v>
      </c>
      <c r="B77" s="7" t="s">
        <v>202</v>
      </c>
      <c r="C77" s="4" t="s">
        <v>203</v>
      </c>
      <c r="D77" s="4" t="s">
        <v>16</v>
      </c>
      <c r="E77" s="4" t="s">
        <v>204</v>
      </c>
      <c r="F77" s="4" t="s">
        <v>205</v>
      </c>
      <c r="G77" s="6">
        <v>1</v>
      </c>
      <c r="H77" s="5">
        <f t="shared" si="2"/>
        <v>65</v>
      </c>
    </row>
    <row r="78" spans="1:8" ht="46.5" customHeight="1">
      <c r="A78" s="7" t="s">
        <v>201</v>
      </c>
      <c r="B78" s="7" t="s">
        <v>202</v>
      </c>
      <c r="C78" s="4" t="s">
        <v>206</v>
      </c>
      <c r="D78" s="4" t="s">
        <v>25</v>
      </c>
      <c r="E78" s="4" t="s">
        <v>204</v>
      </c>
      <c r="F78" s="4" t="s">
        <v>205</v>
      </c>
      <c r="G78" s="6">
        <v>7</v>
      </c>
      <c r="H78" s="5">
        <f t="shared" si="2"/>
        <v>455</v>
      </c>
    </row>
    <row r="79" spans="1:8" ht="46.5" customHeight="1">
      <c r="A79" s="7" t="s">
        <v>201</v>
      </c>
      <c r="B79" s="7" t="s">
        <v>202</v>
      </c>
      <c r="C79" s="4" t="s">
        <v>207</v>
      </c>
      <c r="D79" s="4" t="s">
        <v>28</v>
      </c>
      <c r="E79" s="4" t="s">
        <v>208</v>
      </c>
      <c r="F79" s="4" t="s">
        <v>205</v>
      </c>
      <c r="G79" s="6">
        <v>3</v>
      </c>
      <c r="H79" s="5">
        <f t="shared" si="2"/>
        <v>195</v>
      </c>
    </row>
  </sheetData>
  <mergeCells count="2">
    <mergeCell ref="A2:H2"/>
    <mergeCell ref="J2:K2"/>
  </mergeCells>
  <phoneticPr fontId="5" type="noConversion"/>
  <dataValidations count="1">
    <dataValidation type="list" sqref="D5:D79" xr:uid="{00000000-0002-0000-0000-000000000000}">
      <formula1>"讨论需求,设计,开发,测试"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showGridLines="0" workbookViewId="0">
      <selection activeCell="A13" sqref="A13:F17"/>
    </sheetView>
  </sheetViews>
  <sheetFormatPr baseColWidth="10" defaultColWidth="8.83203125" defaultRowHeight="14"/>
  <cols>
    <col min="1" max="1" width="11.6640625" customWidth="1"/>
    <col min="2" max="2" width="36.6640625" customWidth="1"/>
    <col min="3" max="3" width="2.83203125" customWidth="1"/>
    <col min="4" max="4" width="11.6640625" customWidth="1"/>
    <col min="5" max="5" width="8.83203125" customWidth="1"/>
    <col min="6" max="6" width="10" customWidth="1"/>
  </cols>
  <sheetData>
    <row r="1" spans="1:6" ht="19.5" customHeight="1">
      <c r="A1" s="1" t="s">
        <v>209</v>
      </c>
      <c r="B1" s="1"/>
      <c r="C1" s="1"/>
      <c r="D1" s="1"/>
      <c r="E1" s="1"/>
      <c r="F1" s="1"/>
    </row>
    <row r="2" spans="1:6" ht="19.5" customHeight="1"/>
    <row r="3" spans="1:6" ht="19.5" customHeight="1">
      <c r="A3" s="11" t="s">
        <v>210</v>
      </c>
      <c r="B3" s="4" t="s">
        <v>211</v>
      </c>
      <c r="D3" s="3" t="s">
        <v>7</v>
      </c>
      <c r="E3" s="3" t="s">
        <v>33</v>
      </c>
      <c r="F3" s="3" t="s">
        <v>212</v>
      </c>
    </row>
    <row r="4" spans="1:6" ht="19.5" customHeight="1">
      <c r="A4" s="11" t="s">
        <v>213</v>
      </c>
      <c r="B4" s="4" t="s">
        <v>214</v>
      </c>
      <c r="D4" s="4" t="s">
        <v>16</v>
      </c>
      <c r="E4" s="6">
        <f>工时明细!K11</f>
        <v>34</v>
      </c>
      <c r="F4" s="12">
        <f>E4/$B$7</f>
        <v>4.0865384615384616E-2</v>
      </c>
    </row>
    <row r="5" spans="1:6" ht="19.5" customHeight="1">
      <c r="A5" s="11" t="s">
        <v>215</v>
      </c>
      <c r="B5" s="4" t="s">
        <v>216</v>
      </c>
      <c r="D5" s="4" t="s">
        <v>21</v>
      </c>
      <c r="E5" s="6">
        <f>工时明细!K12</f>
        <v>126</v>
      </c>
      <c r="F5" s="12">
        <f>E5/$B$7</f>
        <v>0.15144230769230768</v>
      </c>
    </row>
    <row r="6" spans="1:6" ht="19.5" customHeight="1">
      <c r="A6" s="11" t="s">
        <v>3</v>
      </c>
      <c r="B6" s="5">
        <f>工时明细!K3</f>
        <v>65</v>
      </c>
      <c r="D6" s="4" t="s">
        <v>25</v>
      </c>
      <c r="E6" s="6">
        <f>工时明细!K13</f>
        <v>517</v>
      </c>
      <c r="F6" s="12">
        <f>E6/$B$7</f>
        <v>0.62139423076923073</v>
      </c>
    </row>
    <row r="7" spans="1:6" ht="19.5" customHeight="1">
      <c r="A7" s="11" t="s">
        <v>12</v>
      </c>
      <c r="B7" s="6">
        <f>工时明细!K4</f>
        <v>832</v>
      </c>
      <c r="D7" s="4" t="s">
        <v>28</v>
      </c>
      <c r="E7" s="6">
        <f>工时明细!K14</f>
        <v>155</v>
      </c>
      <c r="F7" s="12">
        <f>E7/$B$7</f>
        <v>0.18629807692307693</v>
      </c>
    </row>
    <row r="8" spans="1:6" ht="19.5" customHeight="1">
      <c r="A8" s="11" t="s">
        <v>19</v>
      </c>
      <c r="B8" s="5">
        <f>工时明细!K5</f>
        <v>54080</v>
      </c>
    </row>
    <row r="9" spans="1:6" ht="19.5" customHeight="1">
      <c r="A9" s="11" t="s">
        <v>23</v>
      </c>
      <c r="B9" s="4">
        <f>工时明细!K6</f>
        <v>127</v>
      </c>
    </row>
    <row r="10" spans="1:6" ht="19.5" customHeight="1">
      <c r="A10" s="11" t="s">
        <v>217</v>
      </c>
      <c r="B10" s="4" t="s">
        <v>218</v>
      </c>
    </row>
    <row r="11" spans="1:6" ht="19.5" customHeight="1"/>
    <row r="12" spans="1:6" ht="19.5" customHeight="1">
      <c r="A12" s="15" t="s">
        <v>219</v>
      </c>
      <c r="B12" s="15" t="s">
        <v>219</v>
      </c>
      <c r="C12" s="15" t="s">
        <v>219</v>
      </c>
      <c r="D12" s="15" t="s">
        <v>219</v>
      </c>
      <c r="E12" s="15" t="s">
        <v>219</v>
      </c>
      <c r="F12" s="15" t="s">
        <v>219</v>
      </c>
    </row>
    <row r="13" spans="1:6" ht="67.5" customHeight="1">
      <c r="A13" s="16" t="s">
        <v>684</v>
      </c>
      <c r="B13" s="16" t="s">
        <v>220</v>
      </c>
      <c r="C13" s="16" t="s">
        <v>220</v>
      </c>
      <c r="D13" s="16" t="s">
        <v>220</v>
      </c>
      <c r="E13" s="16" t="s">
        <v>220</v>
      </c>
      <c r="F13" s="16" t="s">
        <v>220</v>
      </c>
    </row>
    <row r="14" spans="1:6" ht="67.5" customHeight="1">
      <c r="A14" s="16" t="s">
        <v>220</v>
      </c>
      <c r="B14" s="16" t="s">
        <v>220</v>
      </c>
      <c r="C14" s="16" t="s">
        <v>220</v>
      </c>
      <c r="D14" s="16" t="s">
        <v>220</v>
      </c>
      <c r="E14" s="16" t="s">
        <v>220</v>
      </c>
      <c r="F14" s="16" t="s">
        <v>220</v>
      </c>
    </row>
    <row r="15" spans="1:6" ht="67.5" customHeight="1">
      <c r="A15" s="16" t="s">
        <v>220</v>
      </c>
      <c r="B15" s="16" t="s">
        <v>220</v>
      </c>
      <c r="C15" s="16" t="s">
        <v>220</v>
      </c>
      <c r="D15" s="16" t="s">
        <v>220</v>
      </c>
      <c r="E15" s="16" t="s">
        <v>220</v>
      </c>
      <c r="F15" s="16" t="s">
        <v>220</v>
      </c>
    </row>
    <row r="16" spans="1:6" ht="67.5" customHeight="1">
      <c r="A16" s="16" t="s">
        <v>220</v>
      </c>
      <c r="B16" s="16" t="s">
        <v>220</v>
      </c>
      <c r="C16" s="16" t="s">
        <v>220</v>
      </c>
      <c r="D16" s="16" t="s">
        <v>220</v>
      </c>
      <c r="E16" s="16" t="s">
        <v>220</v>
      </c>
      <c r="F16" s="16" t="s">
        <v>220</v>
      </c>
    </row>
    <row r="17" spans="1:6" ht="67.5" customHeight="1">
      <c r="A17" s="16" t="s">
        <v>220</v>
      </c>
      <c r="B17" s="16" t="s">
        <v>220</v>
      </c>
      <c r="C17" s="16" t="s">
        <v>220</v>
      </c>
      <c r="D17" s="16" t="s">
        <v>220</v>
      </c>
      <c r="E17" s="16" t="s">
        <v>220</v>
      </c>
      <c r="F17" s="16" t="s">
        <v>220</v>
      </c>
    </row>
  </sheetData>
  <mergeCells count="2">
    <mergeCell ref="A12:F12"/>
    <mergeCell ref="A13:F17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1"/>
  <sheetViews>
    <sheetView showGridLines="0" workbookViewId="0">
      <selection activeCell="A2" sqref="A2:E2"/>
    </sheetView>
  </sheetViews>
  <sheetFormatPr baseColWidth="10" defaultColWidth="8.83203125" defaultRowHeight="14"/>
  <cols>
    <col min="1" max="1" width="18.33203125" customWidth="1"/>
    <col min="2" max="2" width="29.5" customWidth="1"/>
    <col min="3" max="3" width="40" customWidth="1"/>
    <col min="4" max="4" width="12.83203125" customWidth="1"/>
    <col min="5" max="5" width="57.83203125" customWidth="1"/>
  </cols>
  <sheetData>
    <row r="1" spans="1:5" ht="19">
      <c r="A1" s="1" t="s">
        <v>221</v>
      </c>
      <c r="B1" s="1"/>
      <c r="C1" s="1"/>
      <c r="D1" s="1"/>
      <c r="E1" s="1"/>
    </row>
    <row r="2" spans="1:5" ht="15">
      <c r="A2" s="17" t="s">
        <v>685</v>
      </c>
      <c r="B2" s="13" t="s">
        <v>222</v>
      </c>
      <c r="C2" s="13" t="s">
        <v>222</v>
      </c>
      <c r="D2" s="13" t="s">
        <v>222</v>
      </c>
      <c r="E2" s="13" t="s">
        <v>222</v>
      </c>
    </row>
    <row r="4" spans="1:5" ht="16">
      <c r="A4" s="3" t="s">
        <v>223</v>
      </c>
      <c r="B4" s="3" t="s">
        <v>224</v>
      </c>
      <c r="C4" s="3" t="s">
        <v>225</v>
      </c>
      <c r="D4" s="3" t="s">
        <v>226</v>
      </c>
      <c r="E4" s="3" t="s">
        <v>227</v>
      </c>
    </row>
    <row r="5" spans="1:5" ht="33" customHeight="1">
      <c r="A5" s="4" t="s">
        <v>13</v>
      </c>
      <c r="B5" s="4" t="s">
        <v>17</v>
      </c>
      <c r="C5" s="4" t="s">
        <v>228</v>
      </c>
      <c r="D5" s="4" t="s">
        <v>229</v>
      </c>
      <c r="E5" s="4" t="s">
        <v>230</v>
      </c>
    </row>
    <row r="6" spans="1:5" ht="33" customHeight="1">
      <c r="A6" s="4" t="s">
        <v>35</v>
      </c>
      <c r="B6" s="4" t="s">
        <v>38</v>
      </c>
      <c r="C6" s="4" t="s">
        <v>231</v>
      </c>
      <c r="D6" s="4" t="s">
        <v>229</v>
      </c>
      <c r="E6" s="4" t="s">
        <v>232</v>
      </c>
    </row>
    <row r="7" spans="1:5" ht="33" customHeight="1">
      <c r="A7" s="4" t="s">
        <v>43</v>
      </c>
      <c r="B7" s="4" t="s">
        <v>46</v>
      </c>
      <c r="C7" s="4" t="s">
        <v>233</v>
      </c>
      <c r="D7" s="4" t="s">
        <v>229</v>
      </c>
      <c r="E7" s="4" t="s">
        <v>234</v>
      </c>
    </row>
    <row r="8" spans="1:5" ht="33" customHeight="1">
      <c r="A8" s="4" t="s">
        <v>48</v>
      </c>
      <c r="B8" s="4" t="s">
        <v>50</v>
      </c>
      <c r="C8" s="4" t="s">
        <v>235</v>
      </c>
      <c r="D8" s="4" t="s">
        <v>229</v>
      </c>
      <c r="E8" s="4" t="s">
        <v>236</v>
      </c>
    </row>
    <row r="9" spans="1:5" ht="33" customHeight="1">
      <c r="A9" s="4" t="s">
        <v>237</v>
      </c>
      <c r="B9" s="4" t="s">
        <v>238</v>
      </c>
      <c r="C9" s="4" t="s">
        <v>239</v>
      </c>
      <c r="D9" s="4" t="s">
        <v>229</v>
      </c>
      <c r="E9" s="4" t="s">
        <v>240</v>
      </c>
    </row>
    <row r="10" spans="1:5" ht="33" customHeight="1">
      <c r="A10" s="4" t="s">
        <v>66</v>
      </c>
      <c r="B10" s="4" t="s">
        <v>69</v>
      </c>
      <c r="C10" s="4" t="s">
        <v>241</v>
      </c>
      <c r="D10" s="4" t="s">
        <v>229</v>
      </c>
      <c r="E10" s="4" t="s">
        <v>242</v>
      </c>
    </row>
    <row r="11" spans="1:5" ht="33" customHeight="1">
      <c r="A11" s="4" t="s">
        <v>243</v>
      </c>
      <c r="B11" s="4" t="s">
        <v>244</v>
      </c>
      <c r="C11" s="4" t="s">
        <v>245</v>
      </c>
      <c r="D11" s="4" t="s">
        <v>229</v>
      </c>
      <c r="E11" s="4" t="s">
        <v>246</v>
      </c>
    </row>
    <row r="12" spans="1:5" ht="33" customHeight="1">
      <c r="A12" s="4" t="s">
        <v>247</v>
      </c>
      <c r="B12" s="4" t="s">
        <v>248</v>
      </c>
      <c r="C12" s="4" t="s">
        <v>249</v>
      </c>
      <c r="D12" s="4" t="s">
        <v>229</v>
      </c>
      <c r="E12" s="4" t="s">
        <v>250</v>
      </c>
    </row>
    <row r="13" spans="1:5" ht="33" customHeight="1">
      <c r="A13" s="4" t="s">
        <v>52</v>
      </c>
      <c r="B13" s="4" t="s">
        <v>54</v>
      </c>
      <c r="C13" s="4" t="s">
        <v>251</v>
      </c>
      <c r="D13" s="4" t="s">
        <v>229</v>
      </c>
      <c r="E13" s="4" t="s">
        <v>252</v>
      </c>
    </row>
    <row r="14" spans="1:5" ht="33" customHeight="1">
      <c r="A14" s="4" t="s">
        <v>253</v>
      </c>
      <c r="B14" s="4" t="s">
        <v>254</v>
      </c>
      <c r="C14" s="4" t="s">
        <v>255</v>
      </c>
      <c r="D14" s="4" t="s">
        <v>229</v>
      </c>
      <c r="E14" s="4" t="s">
        <v>256</v>
      </c>
    </row>
    <row r="15" spans="1:5" ht="33" customHeight="1">
      <c r="A15" s="4" t="s">
        <v>257</v>
      </c>
      <c r="B15" s="4" t="s">
        <v>258</v>
      </c>
      <c r="C15" s="4" t="s">
        <v>259</v>
      </c>
      <c r="D15" s="4" t="s">
        <v>229</v>
      </c>
      <c r="E15" s="4" t="s">
        <v>260</v>
      </c>
    </row>
    <row r="16" spans="1:5" ht="33" customHeight="1">
      <c r="A16" s="4" t="s">
        <v>261</v>
      </c>
      <c r="B16" s="4" t="s">
        <v>262</v>
      </c>
      <c r="C16" s="4" t="s">
        <v>263</v>
      </c>
      <c r="D16" s="4" t="s">
        <v>229</v>
      </c>
      <c r="E16" s="4" t="s">
        <v>264</v>
      </c>
    </row>
    <row r="17" spans="1:5" ht="33" customHeight="1">
      <c r="A17" s="4" t="s">
        <v>265</v>
      </c>
      <c r="B17" s="4" t="s">
        <v>266</v>
      </c>
      <c r="C17" s="4" t="s">
        <v>267</v>
      </c>
      <c r="D17" s="4" t="s">
        <v>229</v>
      </c>
      <c r="E17" s="4" t="s">
        <v>268</v>
      </c>
    </row>
    <row r="18" spans="1:5" ht="33" customHeight="1">
      <c r="A18" s="4" t="s">
        <v>269</v>
      </c>
      <c r="B18" s="4" t="s">
        <v>270</v>
      </c>
      <c r="C18" s="4" t="s">
        <v>271</v>
      </c>
      <c r="D18" s="4" t="s">
        <v>229</v>
      </c>
      <c r="E18" s="4" t="s">
        <v>272</v>
      </c>
    </row>
    <row r="19" spans="1:5" ht="33" customHeight="1">
      <c r="A19" s="4" t="s">
        <v>273</v>
      </c>
      <c r="B19" s="4" t="s">
        <v>274</v>
      </c>
      <c r="C19" s="4" t="s">
        <v>275</v>
      </c>
      <c r="D19" s="4" t="s">
        <v>229</v>
      </c>
      <c r="E19" s="4" t="s">
        <v>276</v>
      </c>
    </row>
    <row r="20" spans="1:5" ht="33" customHeight="1">
      <c r="A20" s="4" t="s">
        <v>277</v>
      </c>
      <c r="B20" s="4" t="s">
        <v>278</v>
      </c>
      <c r="C20" s="4" t="s">
        <v>279</v>
      </c>
      <c r="D20" s="4" t="s">
        <v>229</v>
      </c>
      <c r="E20" s="4" t="s">
        <v>280</v>
      </c>
    </row>
    <row r="21" spans="1:5" ht="33" customHeight="1">
      <c r="A21" s="4" t="s">
        <v>281</v>
      </c>
      <c r="B21" s="4" t="s">
        <v>282</v>
      </c>
      <c r="C21" s="4" t="s">
        <v>283</v>
      </c>
      <c r="D21" s="4" t="s">
        <v>229</v>
      </c>
      <c r="E21" s="4" t="s">
        <v>284</v>
      </c>
    </row>
    <row r="22" spans="1:5" ht="33" customHeight="1">
      <c r="A22" s="4" t="s">
        <v>285</v>
      </c>
      <c r="B22" s="4" t="s">
        <v>286</v>
      </c>
      <c r="C22" s="4" t="s">
        <v>287</v>
      </c>
      <c r="D22" s="4" t="s">
        <v>229</v>
      </c>
      <c r="E22" s="4" t="s">
        <v>288</v>
      </c>
    </row>
    <row r="23" spans="1:5" ht="33" customHeight="1">
      <c r="A23" s="4" t="s">
        <v>289</v>
      </c>
      <c r="B23" s="4" t="s">
        <v>290</v>
      </c>
      <c r="C23" s="4" t="s">
        <v>291</v>
      </c>
      <c r="D23" s="4" t="s">
        <v>229</v>
      </c>
      <c r="E23" s="4" t="s">
        <v>292</v>
      </c>
    </row>
    <row r="24" spans="1:5" ht="33" customHeight="1">
      <c r="A24" s="4" t="s">
        <v>293</v>
      </c>
      <c r="B24" s="4" t="s">
        <v>294</v>
      </c>
      <c r="C24" s="4" t="s">
        <v>295</v>
      </c>
      <c r="D24" s="4" t="s">
        <v>229</v>
      </c>
      <c r="E24" s="4" t="s">
        <v>296</v>
      </c>
    </row>
    <row r="25" spans="1:5" ht="33" customHeight="1">
      <c r="A25" s="4" t="s">
        <v>297</v>
      </c>
      <c r="B25" s="4" t="s">
        <v>298</v>
      </c>
      <c r="C25" s="4" t="s">
        <v>299</v>
      </c>
      <c r="D25" s="4" t="s">
        <v>229</v>
      </c>
      <c r="E25" s="4" t="s">
        <v>300</v>
      </c>
    </row>
    <row r="26" spans="1:5" ht="33" customHeight="1">
      <c r="A26" s="4" t="s">
        <v>301</v>
      </c>
      <c r="B26" s="4" t="s">
        <v>302</v>
      </c>
      <c r="C26" s="4" t="s">
        <v>303</v>
      </c>
      <c r="D26" s="4" t="s">
        <v>229</v>
      </c>
      <c r="E26" s="4" t="s">
        <v>304</v>
      </c>
    </row>
    <row r="27" spans="1:5" ht="33" customHeight="1">
      <c r="A27" s="4" t="s">
        <v>305</v>
      </c>
      <c r="B27" s="4" t="s">
        <v>57</v>
      </c>
      <c r="C27" s="4" t="s">
        <v>306</v>
      </c>
      <c r="D27" s="4" t="s">
        <v>229</v>
      </c>
      <c r="E27" s="4" t="s">
        <v>307</v>
      </c>
    </row>
    <row r="28" spans="1:5" ht="33" customHeight="1">
      <c r="A28" s="4" t="s">
        <v>305</v>
      </c>
      <c r="B28" s="4" t="s">
        <v>61</v>
      </c>
      <c r="C28" s="4" t="s">
        <v>308</v>
      </c>
      <c r="D28" s="4" t="s">
        <v>229</v>
      </c>
      <c r="E28" s="4" t="s">
        <v>309</v>
      </c>
    </row>
    <row r="29" spans="1:5" ht="33" customHeight="1">
      <c r="A29" s="4" t="s">
        <v>305</v>
      </c>
      <c r="B29" s="4" t="s">
        <v>64</v>
      </c>
      <c r="C29" s="4" t="s">
        <v>310</v>
      </c>
      <c r="D29" s="4" t="s">
        <v>229</v>
      </c>
      <c r="E29" s="4" t="s">
        <v>311</v>
      </c>
    </row>
    <row r="30" spans="1:5" ht="33" customHeight="1">
      <c r="A30" s="4" t="s">
        <v>44</v>
      </c>
      <c r="B30" s="4" t="s">
        <v>312</v>
      </c>
      <c r="C30" s="4" t="s">
        <v>255</v>
      </c>
      <c r="D30" s="4" t="s">
        <v>229</v>
      </c>
      <c r="E30" s="4" t="s">
        <v>313</v>
      </c>
    </row>
    <row r="31" spans="1:5" ht="33" customHeight="1">
      <c r="A31" s="4" t="s">
        <v>71</v>
      </c>
      <c r="B31" s="4" t="s">
        <v>74</v>
      </c>
      <c r="C31" s="4" t="s">
        <v>314</v>
      </c>
      <c r="D31" s="4" t="s">
        <v>229</v>
      </c>
      <c r="E31" s="4" t="s">
        <v>315</v>
      </c>
    </row>
    <row r="32" spans="1:5" ht="33" customHeight="1">
      <c r="A32" s="4" t="s">
        <v>316</v>
      </c>
      <c r="B32" s="4" t="s">
        <v>77</v>
      </c>
      <c r="C32" s="4" t="s">
        <v>317</v>
      </c>
      <c r="D32" s="4" t="s">
        <v>229</v>
      </c>
      <c r="E32" s="4" t="s">
        <v>318</v>
      </c>
    </row>
    <row r="33" spans="1:5" ht="33" customHeight="1">
      <c r="A33" s="4" t="s">
        <v>319</v>
      </c>
      <c r="B33" s="4" t="s">
        <v>320</v>
      </c>
      <c r="C33" s="4" t="s">
        <v>321</v>
      </c>
      <c r="D33" s="4" t="s">
        <v>229</v>
      </c>
      <c r="E33" s="4" t="s">
        <v>322</v>
      </c>
    </row>
    <row r="34" spans="1:5" ht="33" customHeight="1">
      <c r="A34" s="4" t="s">
        <v>323</v>
      </c>
      <c r="B34" s="4" t="s">
        <v>324</v>
      </c>
      <c r="C34" s="4" t="s">
        <v>325</v>
      </c>
      <c r="D34" s="4" t="s">
        <v>229</v>
      </c>
      <c r="E34" s="4" t="s">
        <v>326</v>
      </c>
    </row>
    <row r="35" spans="1:5" ht="33" customHeight="1">
      <c r="A35" s="4" t="s">
        <v>72</v>
      </c>
      <c r="B35" s="4" t="s">
        <v>79</v>
      </c>
      <c r="C35" s="4" t="s">
        <v>327</v>
      </c>
      <c r="D35" s="4" t="s">
        <v>229</v>
      </c>
      <c r="E35" s="4" t="s">
        <v>328</v>
      </c>
    </row>
    <row r="36" spans="1:5" ht="33" customHeight="1">
      <c r="A36" s="4" t="s">
        <v>80</v>
      </c>
      <c r="B36" s="4" t="s">
        <v>83</v>
      </c>
      <c r="C36" s="4" t="s">
        <v>314</v>
      </c>
      <c r="D36" s="4" t="s">
        <v>229</v>
      </c>
      <c r="E36" s="4" t="s">
        <v>329</v>
      </c>
    </row>
    <row r="37" spans="1:5" ht="33" customHeight="1">
      <c r="A37" s="4" t="s">
        <v>330</v>
      </c>
      <c r="B37" s="4" t="s">
        <v>86</v>
      </c>
      <c r="C37" s="4" t="s">
        <v>331</v>
      </c>
      <c r="D37" s="4" t="s">
        <v>229</v>
      </c>
      <c r="E37" s="4" t="s">
        <v>332</v>
      </c>
    </row>
    <row r="38" spans="1:5" ht="33" customHeight="1">
      <c r="A38" s="4" t="s">
        <v>333</v>
      </c>
      <c r="B38" s="4" t="s">
        <v>334</v>
      </c>
      <c r="C38" s="4" t="s">
        <v>335</v>
      </c>
      <c r="D38" s="4" t="s">
        <v>229</v>
      </c>
      <c r="E38" s="4" t="s">
        <v>336</v>
      </c>
    </row>
    <row r="39" spans="1:5" ht="33" customHeight="1">
      <c r="A39" s="4" t="s">
        <v>337</v>
      </c>
      <c r="B39" s="4" t="s">
        <v>338</v>
      </c>
      <c r="C39" s="4" t="s">
        <v>339</v>
      </c>
      <c r="D39" s="4" t="s">
        <v>229</v>
      </c>
      <c r="E39" s="4" t="s">
        <v>340</v>
      </c>
    </row>
    <row r="40" spans="1:5" ht="33" customHeight="1">
      <c r="A40" s="4" t="s">
        <v>341</v>
      </c>
      <c r="B40" s="4" t="s">
        <v>342</v>
      </c>
      <c r="C40" s="4" t="s">
        <v>343</v>
      </c>
      <c r="D40" s="4" t="s">
        <v>229</v>
      </c>
      <c r="E40" s="4" t="s">
        <v>344</v>
      </c>
    </row>
    <row r="41" spans="1:5" ht="33" customHeight="1">
      <c r="A41" s="4" t="s">
        <v>345</v>
      </c>
      <c r="B41" s="4" t="s">
        <v>346</v>
      </c>
      <c r="C41" s="4" t="s">
        <v>347</v>
      </c>
      <c r="D41" s="4" t="s">
        <v>229</v>
      </c>
      <c r="E41" s="4" t="s">
        <v>348</v>
      </c>
    </row>
    <row r="42" spans="1:5" ht="33" customHeight="1">
      <c r="A42" s="4" t="s">
        <v>349</v>
      </c>
      <c r="B42" s="4" t="s">
        <v>350</v>
      </c>
      <c r="C42" s="4" t="s">
        <v>351</v>
      </c>
      <c r="D42" s="4" t="s">
        <v>229</v>
      </c>
      <c r="E42" s="4" t="s">
        <v>352</v>
      </c>
    </row>
    <row r="43" spans="1:5" ht="33" customHeight="1">
      <c r="A43" s="4" t="s">
        <v>353</v>
      </c>
      <c r="B43" s="4" t="s">
        <v>354</v>
      </c>
      <c r="C43" s="4" t="s">
        <v>355</v>
      </c>
      <c r="D43" s="4" t="s">
        <v>229</v>
      </c>
      <c r="E43" s="4" t="s">
        <v>356</v>
      </c>
    </row>
    <row r="44" spans="1:5" ht="33" customHeight="1">
      <c r="A44" s="4" t="s">
        <v>357</v>
      </c>
      <c r="B44" s="4" t="s">
        <v>88</v>
      </c>
      <c r="C44" s="4" t="s">
        <v>358</v>
      </c>
      <c r="D44" s="4" t="s">
        <v>229</v>
      </c>
      <c r="E44" s="4" t="s">
        <v>359</v>
      </c>
    </row>
    <row r="45" spans="1:5" ht="33" customHeight="1">
      <c r="A45" s="4" t="s">
        <v>360</v>
      </c>
      <c r="B45" s="4" t="s">
        <v>361</v>
      </c>
      <c r="C45" s="4" t="s">
        <v>362</v>
      </c>
      <c r="D45" s="4" t="s">
        <v>229</v>
      </c>
      <c r="E45" s="4" t="s">
        <v>363</v>
      </c>
    </row>
    <row r="46" spans="1:5" ht="33" customHeight="1">
      <c r="A46" s="4" t="s">
        <v>364</v>
      </c>
      <c r="B46" s="4" t="s">
        <v>365</v>
      </c>
      <c r="C46" s="4" t="s">
        <v>366</v>
      </c>
      <c r="D46" s="4" t="s">
        <v>229</v>
      </c>
      <c r="E46" s="4" t="s">
        <v>367</v>
      </c>
    </row>
    <row r="47" spans="1:5" ht="33" customHeight="1">
      <c r="A47" s="4" t="s">
        <v>368</v>
      </c>
      <c r="B47" s="4" t="s">
        <v>369</v>
      </c>
      <c r="C47" s="4" t="s">
        <v>370</v>
      </c>
      <c r="D47" s="4" t="s">
        <v>229</v>
      </c>
      <c r="E47" s="4" t="s">
        <v>371</v>
      </c>
    </row>
    <row r="48" spans="1:5" ht="33" customHeight="1">
      <c r="A48" s="4" t="s">
        <v>372</v>
      </c>
      <c r="B48" s="4" t="s">
        <v>373</v>
      </c>
      <c r="C48" s="4" t="s">
        <v>374</v>
      </c>
      <c r="D48" s="4" t="s">
        <v>229</v>
      </c>
      <c r="E48" s="4" t="s">
        <v>375</v>
      </c>
    </row>
    <row r="49" spans="1:5" ht="33" customHeight="1">
      <c r="A49" s="4" t="s">
        <v>376</v>
      </c>
      <c r="B49" s="4" t="s">
        <v>90</v>
      </c>
      <c r="C49" s="4" t="s">
        <v>377</v>
      </c>
      <c r="D49" s="4" t="s">
        <v>229</v>
      </c>
      <c r="E49" s="4" t="s">
        <v>378</v>
      </c>
    </row>
    <row r="50" spans="1:5" ht="33" customHeight="1">
      <c r="A50" s="4" t="s">
        <v>379</v>
      </c>
      <c r="B50" s="4" t="s">
        <v>380</v>
      </c>
      <c r="C50" s="4" t="s">
        <v>381</v>
      </c>
      <c r="D50" s="4" t="s">
        <v>229</v>
      </c>
      <c r="E50" s="4" t="s">
        <v>382</v>
      </c>
    </row>
    <row r="51" spans="1:5" ht="33" customHeight="1">
      <c r="A51" s="4" t="s">
        <v>383</v>
      </c>
      <c r="B51" s="4" t="s">
        <v>384</v>
      </c>
      <c r="C51" s="4" t="s">
        <v>385</v>
      </c>
      <c r="D51" s="4" t="s">
        <v>229</v>
      </c>
      <c r="E51" s="4" t="s">
        <v>386</v>
      </c>
    </row>
    <row r="52" spans="1:5" ht="33" customHeight="1">
      <c r="A52" s="4" t="s">
        <v>383</v>
      </c>
      <c r="B52" s="4" t="s">
        <v>387</v>
      </c>
      <c r="C52" s="4" t="s">
        <v>388</v>
      </c>
      <c r="D52" s="4" t="s">
        <v>229</v>
      </c>
      <c r="E52" s="4" t="s">
        <v>389</v>
      </c>
    </row>
    <row r="53" spans="1:5" ht="33" customHeight="1">
      <c r="A53" s="4" t="s">
        <v>81</v>
      </c>
      <c r="B53" s="4" t="s">
        <v>390</v>
      </c>
      <c r="C53" s="4" t="s">
        <v>391</v>
      </c>
      <c r="D53" s="4" t="s">
        <v>229</v>
      </c>
      <c r="E53" s="4" t="s">
        <v>392</v>
      </c>
    </row>
    <row r="54" spans="1:5" ht="33" customHeight="1">
      <c r="A54" s="4" t="s">
        <v>91</v>
      </c>
      <c r="B54" s="4" t="s">
        <v>94</v>
      </c>
      <c r="C54" s="4" t="s">
        <v>393</v>
      </c>
      <c r="D54" s="4" t="s">
        <v>229</v>
      </c>
      <c r="E54" s="4" t="s">
        <v>394</v>
      </c>
    </row>
    <row r="55" spans="1:5" ht="33" customHeight="1">
      <c r="A55" s="4" t="s">
        <v>92</v>
      </c>
      <c r="B55" s="4" t="s">
        <v>395</v>
      </c>
      <c r="C55" s="4" t="s">
        <v>255</v>
      </c>
      <c r="D55" s="4" t="s">
        <v>229</v>
      </c>
      <c r="E55" s="4" t="s">
        <v>396</v>
      </c>
    </row>
    <row r="56" spans="1:5" ht="33" customHeight="1">
      <c r="A56" s="4" t="s">
        <v>99</v>
      </c>
      <c r="B56" s="4" t="s">
        <v>101</v>
      </c>
      <c r="C56" s="4" t="s">
        <v>397</v>
      </c>
      <c r="D56" s="4" t="s">
        <v>229</v>
      </c>
      <c r="E56" s="4" t="s">
        <v>398</v>
      </c>
    </row>
    <row r="57" spans="1:5" ht="33" customHeight="1">
      <c r="A57" s="4" t="s">
        <v>104</v>
      </c>
      <c r="B57" s="4" t="s">
        <v>107</v>
      </c>
      <c r="C57" s="4" t="s">
        <v>399</v>
      </c>
      <c r="D57" s="4" t="s">
        <v>229</v>
      </c>
      <c r="E57" s="4" t="s">
        <v>400</v>
      </c>
    </row>
    <row r="58" spans="1:5" ht="33" customHeight="1">
      <c r="A58" s="4" t="s">
        <v>401</v>
      </c>
      <c r="B58" s="4" t="s">
        <v>110</v>
      </c>
      <c r="C58" s="4" t="s">
        <v>402</v>
      </c>
      <c r="D58" s="4" t="s">
        <v>229</v>
      </c>
      <c r="E58" s="4" t="s">
        <v>403</v>
      </c>
    </row>
    <row r="59" spans="1:5" ht="33" customHeight="1">
      <c r="A59" s="4" t="s">
        <v>404</v>
      </c>
      <c r="B59" s="4" t="s">
        <v>405</v>
      </c>
      <c r="C59" s="4" t="s">
        <v>406</v>
      </c>
      <c r="D59" s="4" t="s">
        <v>229</v>
      </c>
      <c r="E59" s="4" t="s">
        <v>407</v>
      </c>
    </row>
    <row r="60" spans="1:5" ht="33" customHeight="1">
      <c r="A60" s="4" t="s">
        <v>408</v>
      </c>
      <c r="B60" s="4" t="s">
        <v>409</v>
      </c>
      <c r="C60" s="4" t="s">
        <v>255</v>
      </c>
      <c r="D60" s="4" t="s">
        <v>229</v>
      </c>
      <c r="E60" s="4" t="s">
        <v>410</v>
      </c>
    </row>
    <row r="61" spans="1:5" ht="33" customHeight="1">
      <c r="A61" s="4" t="s">
        <v>411</v>
      </c>
      <c r="B61" s="4" t="s">
        <v>412</v>
      </c>
      <c r="C61" s="4" t="s">
        <v>413</v>
      </c>
      <c r="D61" s="4" t="s">
        <v>229</v>
      </c>
      <c r="E61" s="4" t="s">
        <v>414</v>
      </c>
    </row>
    <row r="62" spans="1:5" ht="33" customHeight="1">
      <c r="A62" s="4" t="s">
        <v>415</v>
      </c>
      <c r="B62" s="4" t="s">
        <v>112</v>
      </c>
      <c r="C62" s="4" t="s">
        <v>416</v>
      </c>
      <c r="D62" s="4" t="s">
        <v>229</v>
      </c>
      <c r="E62" s="4" t="s">
        <v>417</v>
      </c>
    </row>
    <row r="63" spans="1:5" ht="33" customHeight="1">
      <c r="A63" s="4" t="s">
        <v>105</v>
      </c>
      <c r="B63" s="4" t="s">
        <v>418</v>
      </c>
      <c r="C63" s="4" t="s">
        <v>255</v>
      </c>
      <c r="D63" s="4" t="s">
        <v>229</v>
      </c>
      <c r="E63" s="4" t="s">
        <v>419</v>
      </c>
    </row>
    <row r="64" spans="1:5" ht="33" customHeight="1">
      <c r="A64" s="4" t="s">
        <v>113</v>
      </c>
      <c r="B64" s="4" t="s">
        <v>116</v>
      </c>
      <c r="C64" s="4" t="s">
        <v>420</v>
      </c>
      <c r="D64" s="4" t="s">
        <v>229</v>
      </c>
      <c r="E64" s="4" t="s">
        <v>421</v>
      </c>
    </row>
    <row r="65" spans="1:5" ht="33" customHeight="1">
      <c r="A65" s="4" t="s">
        <v>422</v>
      </c>
      <c r="B65" s="4" t="s">
        <v>423</v>
      </c>
      <c r="C65" s="4" t="s">
        <v>255</v>
      </c>
      <c r="D65" s="4" t="s">
        <v>229</v>
      </c>
      <c r="E65" s="4" t="s">
        <v>424</v>
      </c>
    </row>
    <row r="66" spans="1:5" ht="33" customHeight="1">
      <c r="A66" s="4" t="s">
        <v>114</v>
      </c>
      <c r="B66" s="4" t="s">
        <v>122</v>
      </c>
      <c r="C66" s="4" t="s">
        <v>425</v>
      </c>
      <c r="D66" s="4" t="s">
        <v>229</v>
      </c>
      <c r="E66" s="4" t="s">
        <v>426</v>
      </c>
    </row>
    <row r="67" spans="1:5" ht="33" customHeight="1">
      <c r="A67" s="4" t="s">
        <v>427</v>
      </c>
      <c r="B67" s="4" t="s">
        <v>428</v>
      </c>
      <c r="C67" s="4" t="s">
        <v>255</v>
      </c>
      <c r="D67" s="4" t="s">
        <v>229</v>
      </c>
      <c r="E67" s="4" t="s">
        <v>429</v>
      </c>
    </row>
    <row r="68" spans="1:5" ht="33" customHeight="1">
      <c r="A68" s="4" t="s">
        <v>136</v>
      </c>
      <c r="B68" s="4" t="s">
        <v>139</v>
      </c>
      <c r="C68" s="4" t="s">
        <v>430</v>
      </c>
      <c r="D68" s="4" t="s">
        <v>229</v>
      </c>
      <c r="E68" s="4" t="s">
        <v>431</v>
      </c>
    </row>
    <row r="69" spans="1:5" ht="33" customHeight="1">
      <c r="A69" s="4" t="s">
        <v>136</v>
      </c>
      <c r="B69" s="4" t="s">
        <v>156</v>
      </c>
      <c r="C69" s="4" t="s">
        <v>432</v>
      </c>
      <c r="D69" s="4" t="s">
        <v>229</v>
      </c>
      <c r="E69" s="4" t="s">
        <v>433</v>
      </c>
    </row>
    <row r="70" spans="1:5" ht="33" customHeight="1">
      <c r="A70" s="4" t="s">
        <v>434</v>
      </c>
      <c r="B70" s="4" t="s">
        <v>144</v>
      </c>
      <c r="C70" s="4" t="s">
        <v>435</v>
      </c>
      <c r="D70" s="4" t="s">
        <v>229</v>
      </c>
      <c r="E70" s="4" t="s">
        <v>436</v>
      </c>
    </row>
    <row r="71" spans="1:5" ht="33" customHeight="1">
      <c r="A71" s="4" t="s">
        <v>434</v>
      </c>
      <c r="B71" s="4" t="s">
        <v>437</v>
      </c>
      <c r="C71" s="4" t="s">
        <v>438</v>
      </c>
      <c r="D71" s="4" t="s">
        <v>229</v>
      </c>
      <c r="E71" s="4" t="s">
        <v>439</v>
      </c>
    </row>
    <row r="72" spans="1:5" ht="33" customHeight="1">
      <c r="A72" s="4" t="s">
        <v>137</v>
      </c>
      <c r="B72" s="4" t="s">
        <v>147</v>
      </c>
      <c r="C72" s="4" t="s">
        <v>440</v>
      </c>
      <c r="D72" s="4" t="s">
        <v>229</v>
      </c>
      <c r="E72" s="4" t="s">
        <v>441</v>
      </c>
    </row>
    <row r="73" spans="1:5" ht="33" customHeight="1">
      <c r="A73" s="4" t="s">
        <v>120</v>
      </c>
      <c r="B73" s="4" t="s">
        <v>442</v>
      </c>
      <c r="C73" s="4" t="s">
        <v>443</v>
      </c>
      <c r="D73" s="4" t="s">
        <v>229</v>
      </c>
      <c r="E73" s="4" t="s">
        <v>444</v>
      </c>
    </row>
    <row r="74" spans="1:5" ht="33" customHeight="1">
      <c r="A74" s="4" t="s">
        <v>445</v>
      </c>
      <c r="B74" s="4" t="s">
        <v>446</v>
      </c>
      <c r="C74" s="4" t="s">
        <v>447</v>
      </c>
      <c r="D74" s="4" t="s">
        <v>229</v>
      </c>
      <c r="E74" s="4" t="s">
        <v>448</v>
      </c>
    </row>
    <row r="75" spans="1:5" ht="33" customHeight="1">
      <c r="A75" s="4" t="s">
        <v>126</v>
      </c>
      <c r="B75" s="4" t="s">
        <v>449</v>
      </c>
      <c r="C75" s="4" t="s">
        <v>450</v>
      </c>
      <c r="D75" s="4" t="s">
        <v>229</v>
      </c>
      <c r="E75" s="4" t="s">
        <v>451</v>
      </c>
    </row>
    <row r="76" spans="1:5" ht="33" customHeight="1">
      <c r="A76" s="4" t="s">
        <v>152</v>
      </c>
      <c r="B76" s="4" t="s">
        <v>158</v>
      </c>
      <c r="C76" s="4" t="s">
        <v>452</v>
      </c>
      <c r="D76" s="4" t="s">
        <v>229</v>
      </c>
      <c r="E76" s="4" t="s">
        <v>453</v>
      </c>
    </row>
    <row r="77" spans="1:5" ht="33" customHeight="1">
      <c r="A77" s="4" t="s">
        <v>159</v>
      </c>
      <c r="B77" s="4" t="s">
        <v>162</v>
      </c>
      <c r="C77" s="4" t="s">
        <v>454</v>
      </c>
      <c r="D77" s="4" t="s">
        <v>229</v>
      </c>
      <c r="E77" s="4" t="s">
        <v>455</v>
      </c>
    </row>
    <row r="78" spans="1:5" ht="33" customHeight="1">
      <c r="A78" s="4" t="s">
        <v>456</v>
      </c>
      <c r="B78" s="4" t="s">
        <v>457</v>
      </c>
      <c r="C78" s="4" t="s">
        <v>458</v>
      </c>
      <c r="D78" s="4" t="s">
        <v>229</v>
      </c>
      <c r="E78" s="4" t="s">
        <v>459</v>
      </c>
    </row>
    <row r="79" spans="1:5" ht="33" customHeight="1">
      <c r="A79" s="4" t="s">
        <v>460</v>
      </c>
      <c r="B79" s="4" t="s">
        <v>165</v>
      </c>
      <c r="C79" s="4" t="s">
        <v>461</v>
      </c>
      <c r="D79" s="4" t="s">
        <v>229</v>
      </c>
      <c r="E79" s="4" t="s">
        <v>462</v>
      </c>
    </row>
    <row r="80" spans="1:5" ht="33" customHeight="1">
      <c r="A80" s="4" t="s">
        <v>463</v>
      </c>
      <c r="B80" s="4" t="s">
        <v>464</v>
      </c>
      <c r="C80" s="4" t="s">
        <v>465</v>
      </c>
      <c r="D80" s="4" t="s">
        <v>229</v>
      </c>
      <c r="E80" s="4" t="s">
        <v>466</v>
      </c>
    </row>
    <row r="81" spans="1:5" ht="33" customHeight="1">
      <c r="A81" s="4" t="s">
        <v>467</v>
      </c>
      <c r="B81" s="4" t="s">
        <v>468</v>
      </c>
      <c r="C81" s="4" t="s">
        <v>255</v>
      </c>
      <c r="D81" s="4" t="s">
        <v>229</v>
      </c>
      <c r="E81" s="4" t="s">
        <v>469</v>
      </c>
    </row>
    <row r="82" spans="1:5" ht="33" customHeight="1">
      <c r="A82" s="4" t="s">
        <v>470</v>
      </c>
      <c r="B82" s="4" t="s">
        <v>471</v>
      </c>
      <c r="C82" s="4" t="s">
        <v>472</v>
      </c>
      <c r="D82" s="4" t="s">
        <v>229</v>
      </c>
      <c r="E82" s="4" t="s">
        <v>473</v>
      </c>
    </row>
    <row r="83" spans="1:5" ht="33" customHeight="1">
      <c r="A83" s="4" t="s">
        <v>474</v>
      </c>
      <c r="B83" s="4" t="s">
        <v>475</v>
      </c>
      <c r="C83" s="4" t="s">
        <v>476</v>
      </c>
      <c r="D83" s="4" t="s">
        <v>229</v>
      </c>
      <c r="E83" s="4" t="s">
        <v>477</v>
      </c>
    </row>
    <row r="84" spans="1:5" ht="33" customHeight="1">
      <c r="A84" s="4" t="s">
        <v>478</v>
      </c>
      <c r="B84" s="4" t="s">
        <v>167</v>
      </c>
      <c r="C84" s="4" t="s">
        <v>479</v>
      </c>
      <c r="D84" s="4" t="s">
        <v>229</v>
      </c>
      <c r="E84" s="4" t="s">
        <v>480</v>
      </c>
    </row>
    <row r="85" spans="1:5" ht="33" customHeight="1">
      <c r="A85" s="4" t="s">
        <v>481</v>
      </c>
      <c r="B85" s="4" t="s">
        <v>482</v>
      </c>
      <c r="C85" s="4" t="s">
        <v>255</v>
      </c>
      <c r="D85" s="4" t="s">
        <v>229</v>
      </c>
      <c r="E85" s="4" t="s">
        <v>483</v>
      </c>
    </row>
    <row r="86" spans="1:5" ht="33" customHeight="1">
      <c r="A86" s="4" t="s">
        <v>170</v>
      </c>
      <c r="B86" s="4" t="s">
        <v>173</v>
      </c>
      <c r="C86" s="4" t="s">
        <v>484</v>
      </c>
      <c r="D86" s="4" t="s">
        <v>229</v>
      </c>
      <c r="E86" s="4" t="s">
        <v>485</v>
      </c>
    </row>
    <row r="87" spans="1:5" ht="33" customHeight="1">
      <c r="A87" s="4" t="s">
        <v>486</v>
      </c>
      <c r="B87" s="4" t="s">
        <v>487</v>
      </c>
      <c r="C87" s="4" t="s">
        <v>255</v>
      </c>
      <c r="D87" s="4" t="s">
        <v>229</v>
      </c>
      <c r="E87" s="4" t="s">
        <v>488</v>
      </c>
    </row>
    <row r="88" spans="1:5" ht="33" customHeight="1">
      <c r="A88" s="4" t="s">
        <v>489</v>
      </c>
      <c r="B88" s="4" t="s">
        <v>490</v>
      </c>
      <c r="C88" s="4" t="s">
        <v>491</v>
      </c>
      <c r="D88" s="4" t="s">
        <v>229</v>
      </c>
      <c r="E88" s="4" t="s">
        <v>492</v>
      </c>
    </row>
    <row r="89" spans="1:5" ht="33" customHeight="1">
      <c r="A89" s="4" t="s">
        <v>493</v>
      </c>
      <c r="B89" s="4" t="s">
        <v>494</v>
      </c>
      <c r="C89" s="4" t="s">
        <v>495</v>
      </c>
      <c r="D89" s="4" t="s">
        <v>229</v>
      </c>
      <c r="E89" s="4" t="s">
        <v>496</v>
      </c>
    </row>
    <row r="90" spans="1:5" ht="33" customHeight="1">
      <c r="A90" s="4" t="s">
        <v>497</v>
      </c>
      <c r="B90" s="4" t="s">
        <v>498</v>
      </c>
      <c r="C90" s="4" t="s">
        <v>499</v>
      </c>
      <c r="D90" s="4" t="s">
        <v>229</v>
      </c>
      <c r="E90" s="4" t="s">
        <v>500</v>
      </c>
    </row>
    <row r="91" spans="1:5" ht="33" customHeight="1">
      <c r="A91" s="4" t="s">
        <v>501</v>
      </c>
      <c r="B91" s="4" t="s">
        <v>502</v>
      </c>
      <c r="C91" s="4" t="s">
        <v>503</v>
      </c>
      <c r="D91" s="4" t="s">
        <v>229</v>
      </c>
      <c r="E91" s="4" t="s">
        <v>504</v>
      </c>
    </row>
    <row r="92" spans="1:5" ht="33" customHeight="1">
      <c r="A92" s="4" t="s">
        <v>505</v>
      </c>
      <c r="B92" s="4" t="s">
        <v>506</v>
      </c>
      <c r="C92" s="4" t="s">
        <v>507</v>
      </c>
      <c r="D92" s="4" t="s">
        <v>229</v>
      </c>
      <c r="E92" s="4" t="s">
        <v>508</v>
      </c>
    </row>
    <row r="93" spans="1:5" ht="33" customHeight="1">
      <c r="A93" s="4" t="s">
        <v>509</v>
      </c>
      <c r="B93" s="4" t="s">
        <v>510</v>
      </c>
      <c r="C93" s="4" t="s">
        <v>511</v>
      </c>
      <c r="D93" s="4" t="s">
        <v>229</v>
      </c>
      <c r="E93" s="4" t="s">
        <v>512</v>
      </c>
    </row>
    <row r="94" spans="1:5" ht="33" customHeight="1">
      <c r="A94" s="4" t="s">
        <v>513</v>
      </c>
      <c r="B94" s="4" t="s">
        <v>514</v>
      </c>
      <c r="C94" s="4" t="s">
        <v>515</v>
      </c>
      <c r="D94" s="4" t="s">
        <v>229</v>
      </c>
      <c r="E94" s="4" t="s">
        <v>516</v>
      </c>
    </row>
    <row r="95" spans="1:5" ht="33" customHeight="1">
      <c r="A95" s="4" t="s">
        <v>517</v>
      </c>
      <c r="B95" s="4" t="s">
        <v>518</v>
      </c>
      <c r="C95" s="4" t="s">
        <v>519</v>
      </c>
      <c r="D95" s="4" t="s">
        <v>229</v>
      </c>
      <c r="E95" s="4" t="s">
        <v>520</v>
      </c>
    </row>
    <row r="96" spans="1:5" ht="33" customHeight="1">
      <c r="A96" s="4" t="s">
        <v>521</v>
      </c>
      <c r="B96" s="4" t="s">
        <v>522</v>
      </c>
      <c r="C96" s="4" t="s">
        <v>523</v>
      </c>
      <c r="D96" s="4" t="s">
        <v>229</v>
      </c>
      <c r="E96" s="4" t="s">
        <v>524</v>
      </c>
    </row>
    <row r="97" spans="1:5" ht="33" customHeight="1">
      <c r="A97" s="4" t="s">
        <v>521</v>
      </c>
      <c r="B97" s="4" t="s">
        <v>525</v>
      </c>
      <c r="C97" s="4" t="s">
        <v>526</v>
      </c>
      <c r="D97" s="4" t="s">
        <v>229</v>
      </c>
      <c r="E97" s="4" t="s">
        <v>527</v>
      </c>
    </row>
    <row r="98" spans="1:5" ht="33" customHeight="1">
      <c r="A98" s="4" t="s">
        <v>528</v>
      </c>
      <c r="B98" s="4" t="s">
        <v>529</v>
      </c>
      <c r="C98" s="4" t="s">
        <v>530</v>
      </c>
      <c r="D98" s="4" t="s">
        <v>229</v>
      </c>
      <c r="E98" s="4" t="s">
        <v>531</v>
      </c>
    </row>
    <row r="99" spans="1:5" ht="33" customHeight="1">
      <c r="A99" s="4" t="s">
        <v>528</v>
      </c>
      <c r="B99" s="4" t="s">
        <v>532</v>
      </c>
      <c r="C99" s="4" t="s">
        <v>533</v>
      </c>
      <c r="D99" s="4" t="s">
        <v>229</v>
      </c>
      <c r="E99" s="4" t="s">
        <v>534</v>
      </c>
    </row>
    <row r="100" spans="1:5" ht="33" customHeight="1">
      <c r="A100" s="4" t="s">
        <v>535</v>
      </c>
      <c r="B100" s="4" t="s">
        <v>536</v>
      </c>
      <c r="C100" s="4" t="s">
        <v>537</v>
      </c>
      <c r="D100" s="4" t="s">
        <v>229</v>
      </c>
      <c r="E100" s="4" t="s">
        <v>538</v>
      </c>
    </row>
    <row r="101" spans="1:5" ht="33" customHeight="1">
      <c r="A101" s="4" t="s">
        <v>535</v>
      </c>
      <c r="B101" s="4" t="s">
        <v>169</v>
      </c>
      <c r="C101" s="4" t="s">
        <v>539</v>
      </c>
      <c r="D101" s="4" t="s">
        <v>229</v>
      </c>
      <c r="E101" s="4" t="s">
        <v>540</v>
      </c>
    </row>
    <row r="102" spans="1:5" ht="33" customHeight="1">
      <c r="A102" s="4" t="s">
        <v>541</v>
      </c>
      <c r="B102" s="4" t="s">
        <v>542</v>
      </c>
      <c r="C102" s="4" t="s">
        <v>543</v>
      </c>
      <c r="D102" s="4" t="s">
        <v>229</v>
      </c>
      <c r="E102" s="4" t="s">
        <v>544</v>
      </c>
    </row>
    <row r="103" spans="1:5" ht="33" customHeight="1">
      <c r="A103" s="4" t="s">
        <v>160</v>
      </c>
      <c r="B103" s="4" t="s">
        <v>545</v>
      </c>
      <c r="C103" s="4" t="s">
        <v>546</v>
      </c>
      <c r="D103" s="4" t="s">
        <v>229</v>
      </c>
      <c r="E103" s="4" t="s">
        <v>547</v>
      </c>
    </row>
    <row r="104" spans="1:5" ht="33" customHeight="1">
      <c r="A104" s="4" t="s">
        <v>548</v>
      </c>
      <c r="B104" s="4" t="s">
        <v>177</v>
      </c>
      <c r="C104" s="4" t="s">
        <v>549</v>
      </c>
      <c r="D104" s="4" t="s">
        <v>229</v>
      </c>
      <c r="E104" s="4" t="s">
        <v>550</v>
      </c>
    </row>
    <row r="105" spans="1:5" ht="33" customHeight="1">
      <c r="A105" s="4" t="s">
        <v>551</v>
      </c>
      <c r="B105" s="4" t="s">
        <v>179</v>
      </c>
      <c r="C105" s="4" t="s">
        <v>552</v>
      </c>
      <c r="D105" s="4" t="s">
        <v>229</v>
      </c>
      <c r="E105" s="4" t="s">
        <v>553</v>
      </c>
    </row>
    <row r="106" spans="1:5" ht="33" customHeight="1">
      <c r="A106" s="4" t="s">
        <v>554</v>
      </c>
      <c r="B106" s="4" t="s">
        <v>555</v>
      </c>
      <c r="C106" s="4" t="s">
        <v>255</v>
      </c>
      <c r="D106" s="4" t="s">
        <v>229</v>
      </c>
      <c r="E106" s="4" t="s">
        <v>556</v>
      </c>
    </row>
    <row r="107" spans="1:5" ht="33" customHeight="1">
      <c r="A107" s="4" t="s">
        <v>180</v>
      </c>
      <c r="B107" s="4" t="s">
        <v>183</v>
      </c>
      <c r="C107" s="4" t="s">
        <v>557</v>
      </c>
      <c r="D107" s="4" t="s">
        <v>229</v>
      </c>
      <c r="E107" s="4" t="s">
        <v>558</v>
      </c>
    </row>
    <row r="108" spans="1:5" ht="33" customHeight="1">
      <c r="A108" s="4" t="s">
        <v>559</v>
      </c>
      <c r="B108" s="4" t="s">
        <v>560</v>
      </c>
      <c r="C108" s="4" t="s">
        <v>255</v>
      </c>
      <c r="D108" s="4" t="s">
        <v>229</v>
      </c>
      <c r="E108" s="4" t="s">
        <v>561</v>
      </c>
    </row>
    <row r="109" spans="1:5" ht="33" customHeight="1">
      <c r="A109" s="4" t="s">
        <v>562</v>
      </c>
      <c r="B109" s="4" t="s">
        <v>563</v>
      </c>
      <c r="C109" s="4" t="s">
        <v>255</v>
      </c>
      <c r="D109" s="4" t="s">
        <v>229</v>
      </c>
      <c r="E109" s="4" t="s">
        <v>564</v>
      </c>
    </row>
    <row r="110" spans="1:5" ht="33" customHeight="1">
      <c r="A110" s="4" t="s">
        <v>186</v>
      </c>
      <c r="B110" s="4" t="s">
        <v>189</v>
      </c>
      <c r="C110" s="4" t="s">
        <v>565</v>
      </c>
      <c r="D110" s="4" t="s">
        <v>229</v>
      </c>
      <c r="E110" s="4" t="s">
        <v>566</v>
      </c>
    </row>
    <row r="111" spans="1:5" ht="33" customHeight="1">
      <c r="A111" s="4" t="s">
        <v>191</v>
      </c>
      <c r="B111" s="4" t="s">
        <v>194</v>
      </c>
      <c r="C111" s="4" t="s">
        <v>567</v>
      </c>
      <c r="D111" s="4" t="s">
        <v>229</v>
      </c>
      <c r="E111" s="4" t="s">
        <v>568</v>
      </c>
    </row>
    <row r="112" spans="1:5" ht="33" customHeight="1">
      <c r="A112" s="4" t="s">
        <v>569</v>
      </c>
      <c r="B112" s="4" t="s">
        <v>570</v>
      </c>
      <c r="C112" s="4" t="s">
        <v>255</v>
      </c>
      <c r="D112" s="4" t="s">
        <v>229</v>
      </c>
      <c r="E112" s="4" t="s">
        <v>571</v>
      </c>
    </row>
    <row r="113" spans="1:5" ht="33" customHeight="1">
      <c r="A113" s="4" t="s">
        <v>569</v>
      </c>
      <c r="B113" s="4" t="s">
        <v>572</v>
      </c>
      <c r="C113" s="4" t="s">
        <v>573</v>
      </c>
      <c r="D113" s="4" t="s">
        <v>229</v>
      </c>
      <c r="E113" s="4" t="s">
        <v>574</v>
      </c>
    </row>
    <row r="114" spans="1:5" ht="33" customHeight="1">
      <c r="A114" s="4" t="s">
        <v>575</v>
      </c>
      <c r="B114" s="4" t="s">
        <v>576</v>
      </c>
      <c r="C114" s="4" t="s">
        <v>577</v>
      </c>
      <c r="D114" s="4" t="s">
        <v>229</v>
      </c>
      <c r="E114" s="4" t="s">
        <v>578</v>
      </c>
    </row>
    <row r="115" spans="1:5" ht="33" customHeight="1">
      <c r="A115" s="4" t="s">
        <v>579</v>
      </c>
      <c r="B115" s="4" t="s">
        <v>580</v>
      </c>
      <c r="C115" s="4" t="s">
        <v>581</v>
      </c>
      <c r="D115" s="4" t="s">
        <v>229</v>
      </c>
      <c r="E115" s="4" t="s">
        <v>582</v>
      </c>
    </row>
    <row r="116" spans="1:5" ht="33" customHeight="1">
      <c r="A116" s="4" t="s">
        <v>583</v>
      </c>
      <c r="B116" s="4" t="s">
        <v>584</v>
      </c>
      <c r="C116" s="4" t="s">
        <v>585</v>
      </c>
      <c r="D116" s="4" t="s">
        <v>229</v>
      </c>
      <c r="E116" s="4" t="s">
        <v>586</v>
      </c>
    </row>
    <row r="117" spans="1:5" ht="33" customHeight="1">
      <c r="A117" s="4" t="s">
        <v>587</v>
      </c>
      <c r="B117" s="4" t="s">
        <v>588</v>
      </c>
      <c r="C117" s="4" t="s">
        <v>589</v>
      </c>
      <c r="D117" s="4" t="s">
        <v>229</v>
      </c>
      <c r="E117" s="4" t="s">
        <v>590</v>
      </c>
    </row>
    <row r="118" spans="1:5" ht="33" customHeight="1">
      <c r="A118" s="4" t="s">
        <v>591</v>
      </c>
      <c r="B118" s="4" t="s">
        <v>198</v>
      </c>
      <c r="C118" s="4" t="s">
        <v>592</v>
      </c>
      <c r="D118" s="4" t="s">
        <v>229</v>
      </c>
      <c r="E118" s="4" t="s">
        <v>593</v>
      </c>
    </row>
    <row r="119" spans="1:5" ht="33" customHeight="1">
      <c r="A119" s="4" t="s">
        <v>594</v>
      </c>
      <c r="B119" s="4" t="s">
        <v>595</v>
      </c>
      <c r="C119" s="4" t="s">
        <v>255</v>
      </c>
      <c r="D119" s="4" t="s">
        <v>229</v>
      </c>
      <c r="E119" s="4" t="s">
        <v>596</v>
      </c>
    </row>
    <row r="120" spans="1:5" ht="33" customHeight="1">
      <c r="A120" s="4" t="s">
        <v>597</v>
      </c>
      <c r="B120" s="4" t="s">
        <v>598</v>
      </c>
      <c r="C120" s="4" t="s">
        <v>599</v>
      </c>
      <c r="D120" s="4" t="s">
        <v>229</v>
      </c>
      <c r="E120" s="4" t="s">
        <v>600</v>
      </c>
    </row>
    <row r="121" spans="1:5" ht="33" customHeight="1">
      <c r="A121" s="4" t="s">
        <v>601</v>
      </c>
      <c r="B121" s="4" t="s">
        <v>602</v>
      </c>
      <c r="C121" s="4" t="s">
        <v>603</v>
      </c>
      <c r="D121" s="4" t="s">
        <v>229</v>
      </c>
      <c r="E121" s="4" t="s">
        <v>604</v>
      </c>
    </row>
    <row r="122" spans="1:5" ht="33" customHeight="1">
      <c r="A122" s="4" t="s">
        <v>605</v>
      </c>
      <c r="B122" s="4" t="s">
        <v>606</v>
      </c>
      <c r="C122" s="4" t="s">
        <v>603</v>
      </c>
      <c r="D122" s="4" t="s">
        <v>229</v>
      </c>
      <c r="E122" s="4" t="s">
        <v>607</v>
      </c>
    </row>
    <row r="123" spans="1:5" ht="33" customHeight="1">
      <c r="A123" s="4" t="s">
        <v>608</v>
      </c>
      <c r="B123" s="4" t="s">
        <v>609</v>
      </c>
      <c r="C123" s="4" t="s">
        <v>610</v>
      </c>
      <c r="D123" s="4" t="s">
        <v>229</v>
      </c>
      <c r="E123" s="4" t="s">
        <v>611</v>
      </c>
    </row>
    <row r="124" spans="1:5" ht="33" customHeight="1">
      <c r="A124" s="4" t="s">
        <v>612</v>
      </c>
      <c r="B124" s="4" t="s">
        <v>200</v>
      </c>
      <c r="C124" s="4" t="s">
        <v>589</v>
      </c>
      <c r="D124" s="4" t="s">
        <v>229</v>
      </c>
      <c r="E124" s="4" t="s">
        <v>613</v>
      </c>
    </row>
    <row r="125" spans="1:5" ht="33" customHeight="1">
      <c r="A125" s="4" t="s">
        <v>614</v>
      </c>
      <c r="B125" s="4" t="s">
        <v>615</v>
      </c>
      <c r="C125" s="4" t="s">
        <v>616</v>
      </c>
      <c r="D125" s="4" t="s">
        <v>229</v>
      </c>
      <c r="E125" s="4" t="s">
        <v>617</v>
      </c>
    </row>
    <row r="126" spans="1:5" ht="33" customHeight="1">
      <c r="A126" s="4" t="s">
        <v>618</v>
      </c>
      <c r="B126" s="4" t="s">
        <v>619</v>
      </c>
      <c r="C126" s="4" t="s">
        <v>620</v>
      </c>
      <c r="D126" s="4" t="s">
        <v>229</v>
      </c>
      <c r="E126" s="4" t="s">
        <v>621</v>
      </c>
    </row>
    <row r="127" spans="1:5" ht="33" customHeight="1">
      <c r="A127" s="4" t="s">
        <v>192</v>
      </c>
      <c r="B127" s="4" t="s">
        <v>622</v>
      </c>
      <c r="C127" s="4" t="s">
        <v>623</v>
      </c>
      <c r="D127" s="4" t="s">
        <v>229</v>
      </c>
      <c r="E127" s="4" t="s">
        <v>624</v>
      </c>
    </row>
    <row r="128" spans="1:5" ht="33" customHeight="1">
      <c r="A128" s="4" t="s">
        <v>625</v>
      </c>
      <c r="B128" s="4" t="s">
        <v>626</v>
      </c>
      <c r="C128" s="4" t="s">
        <v>255</v>
      </c>
      <c r="D128" s="4" t="s">
        <v>229</v>
      </c>
      <c r="E128" s="4" t="s">
        <v>627</v>
      </c>
    </row>
    <row r="129" spans="1:5" ht="33" customHeight="1">
      <c r="A129" s="4" t="s">
        <v>201</v>
      </c>
      <c r="B129" s="4" t="s">
        <v>204</v>
      </c>
      <c r="C129" s="4" t="s">
        <v>628</v>
      </c>
      <c r="D129" s="4" t="s">
        <v>229</v>
      </c>
      <c r="E129" s="4" t="s">
        <v>629</v>
      </c>
    </row>
    <row r="130" spans="1:5" ht="33" customHeight="1">
      <c r="A130" s="4" t="s">
        <v>630</v>
      </c>
      <c r="B130" s="4" t="s">
        <v>208</v>
      </c>
      <c r="C130" s="4" t="s">
        <v>631</v>
      </c>
      <c r="D130" s="4" t="s">
        <v>229</v>
      </c>
      <c r="E130" s="4" t="s">
        <v>632</v>
      </c>
    </row>
    <row r="131" spans="1:5" ht="33" customHeight="1">
      <c r="A131" s="4" t="s">
        <v>633</v>
      </c>
      <c r="B131" s="4" t="s">
        <v>634</v>
      </c>
      <c r="C131" s="4" t="s">
        <v>635</v>
      </c>
      <c r="D131" s="4" t="s">
        <v>636</v>
      </c>
      <c r="E131" s="4" t="s">
        <v>637</v>
      </c>
    </row>
  </sheetData>
  <mergeCells count="1">
    <mergeCell ref="A2:E2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showGridLines="0" workbookViewId="0">
      <selection activeCell="C6" sqref="C6"/>
    </sheetView>
  </sheetViews>
  <sheetFormatPr baseColWidth="10" defaultColWidth="8.83203125" defaultRowHeight="14"/>
  <cols>
    <col min="1" max="1" width="10" customWidth="1"/>
    <col min="2" max="2" width="27.83203125" customWidth="1"/>
    <col min="3" max="3" width="51.1640625" customWidth="1"/>
    <col min="4" max="4" width="47.83203125" customWidth="1"/>
  </cols>
  <sheetData>
    <row r="1" spans="1:4" ht="19">
      <c r="A1" s="1" t="s">
        <v>638</v>
      </c>
      <c r="B1" s="1"/>
      <c r="C1" s="1"/>
      <c r="D1" s="1"/>
    </row>
    <row r="3" spans="1:4" ht="16">
      <c r="A3" s="3" t="s">
        <v>639</v>
      </c>
      <c r="B3" s="3" t="s">
        <v>640</v>
      </c>
      <c r="C3" s="3" t="s">
        <v>641</v>
      </c>
      <c r="D3" s="3" t="s">
        <v>642</v>
      </c>
    </row>
    <row r="4" spans="1:4" ht="40.5" customHeight="1">
      <c r="A4" s="4" t="s">
        <v>643</v>
      </c>
      <c r="B4" s="4" t="s">
        <v>644</v>
      </c>
      <c r="C4" s="4" t="s">
        <v>645</v>
      </c>
      <c r="D4" s="4" t="s">
        <v>646</v>
      </c>
    </row>
    <row r="5" spans="1:4" ht="40.5" customHeight="1">
      <c r="A5" s="4" t="s">
        <v>647</v>
      </c>
      <c r="B5" s="4" t="s">
        <v>648</v>
      </c>
      <c r="C5" s="4" t="s">
        <v>649</v>
      </c>
      <c r="D5" s="4" t="s">
        <v>650</v>
      </c>
    </row>
    <row r="6" spans="1:4" ht="40.5" customHeight="1">
      <c r="A6" s="4" t="s">
        <v>651</v>
      </c>
      <c r="B6" s="4" t="s">
        <v>652</v>
      </c>
      <c r="C6" s="4" t="s">
        <v>653</v>
      </c>
      <c r="D6" s="4" t="s">
        <v>654</v>
      </c>
    </row>
    <row r="7" spans="1:4" ht="40.5" customHeight="1">
      <c r="A7" s="4" t="s">
        <v>655</v>
      </c>
      <c r="B7" s="4" t="s">
        <v>656</v>
      </c>
      <c r="C7" s="4" t="s">
        <v>657</v>
      </c>
      <c r="D7" s="4" t="s">
        <v>658</v>
      </c>
    </row>
    <row r="8" spans="1:4" ht="40.5" customHeight="1">
      <c r="A8" s="4" t="s">
        <v>659</v>
      </c>
      <c r="B8" s="4" t="s">
        <v>660</v>
      </c>
      <c r="C8" s="4" t="s">
        <v>661</v>
      </c>
      <c r="D8" s="4" t="s">
        <v>662</v>
      </c>
    </row>
    <row r="9" spans="1:4" ht="40.5" customHeight="1">
      <c r="A9" s="4" t="s">
        <v>663</v>
      </c>
      <c r="B9" s="4" t="s">
        <v>664</v>
      </c>
      <c r="C9" s="4" t="s">
        <v>665</v>
      </c>
      <c r="D9" s="4" t="s">
        <v>666</v>
      </c>
    </row>
    <row r="10" spans="1:4" ht="40.5" customHeight="1">
      <c r="A10" s="4" t="s">
        <v>667</v>
      </c>
      <c r="B10" s="4" t="s">
        <v>668</v>
      </c>
      <c r="C10" s="4" t="s">
        <v>669</v>
      </c>
      <c r="D10" s="4" t="s">
        <v>670</v>
      </c>
    </row>
    <row r="11" spans="1:4" ht="40.5" customHeight="1">
      <c r="A11" s="4" t="s">
        <v>671</v>
      </c>
      <c r="B11" s="4" t="s">
        <v>672</v>
      </c>
      <c r="C11" s="4" t="s">
        <v>673</v>
      </c>
      <c r="D11" s="4" t="s">
        <v>674</v>
      </c>
    </row>
    <row r="12" spans="1:4" ht="40.5" customHeight="1">
      <c r="A12" s="4" t="s">
        <v>675</v>
      </c>
      <c r="B12" s="4" t="s">
        <v>676</v>
      </c>
      <c r="C12" s="4" t="s">
        <v>677</v>
      </c>
      <c r="D12" s="4" t="s">
        <v>678</v>
      </c>
    </row>
    <row r="13" spans="1:4" ht="40.5" customHeight="1">
      <c r="A13" s="4" t="s">
        <v>679</v>
      </c>
      <c r="B13" s="4" t="s">
        <v>680</v>
      </c>
      <c r="C13" s="4" t="s">
        <v>681</v>
      </c>
      <c r="D13" s="4" t="s">
        <v>682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工时明细</vt:lpstr>
      <vt:lpstr>费用汇总</vt:lpstr>
      <vt:lpstr>会话来源</vt:lpstr>
      <vt:lpstr>阶段摘要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2026-06-10T01:58:39Z</dcterms:modified>
</cp:coreProperties>
</file>